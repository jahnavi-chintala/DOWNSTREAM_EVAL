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6/"/>
    </mc:Choice>
  </mc:AlternateContent>
  <xr:revisionPtr revIDLastSave="0" documentId="8_{E8955C65-7EB3-4A14-B83F-FE7B8F075320}" xr6:coauthVersionLast="47" xr6:coauthVersionMax="47" xr10:uidLastSave="{00000000-0000-0000-0000-000000000000}"/>
  <bookViews>
    <workbookView xWindow="45" yWindow="-21720" windowWidth="51840" windowHeight="21120" xr2:uid="{7D5B415F-F039-4907-9169-7CBEF05AEAEE}"/>
  </bookViews>
  <sheets>
    <sheet name="Standard_Quality_Dashboard - QE" sheetId="1" r:id="rId1"/>
  </sheets>
  <calcPr calcId="0"/>
</workbook>
</file>

<file path=xl/calcChain.xml><?xml version="1.0" encoding="utf-8"?>
<calcChain xmlns="http://schemas.openxmlformats.org/spreadsheetml/2006/main">
  <c r="AE20" i="1" l="1"/>
</calcChain>
</file>

<file path=xl/sharedStrings.xml><?xml version="1.0" encoding="utf-8"?>
<sst xmlns="http://schemas.openxmlformats.org/spreadsheetml/2006/main" count="811" uniqueCount="296">
  <si>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</si>
  <si>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</si>
  <si>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</si>
  <si>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</si>
  <si>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</si>
  <si>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</si>
  <si>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</si>
  <si>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</si>
  <si>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</si>
  <si>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</si>
  <si>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</si>
  <si>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</si>
  <si>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</si>
  <si>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</si>
  <si>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</si>
  <si>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</si>
  <si>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</si>
  <si>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</si>
  <si>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</si>
  <si>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</si>
  <si>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</si>
  <si>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</si>
  <si>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</si>
  <si>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</si>
  <si>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</si>
  <si>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</si>
  <si>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</si>
  <si>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</si>
  <si>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</si>
  <si>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</si>
  <si>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</si>
  <si>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</si>
  <si>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</si>
  <si>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</si>
  <si>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</si>
  <si>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</si>
  <si>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</si>
  <si>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</si>
  <si>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</si>
  <si>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C4891026</t>
  </si>
  <si>
    <t>N</t>
  </si>
  <si>
    <t>Layman, Rachel M</t>
  </si>
  <si>
    <t>Y</t>
  </si>
  <si>
    <t>Minor</t>
  </si>
  <si>
    <t>Closed</t>
  </si>
  <si>
    <t>Product Protocol Number:  
C4891006         C4891026
C4891023         C4891027
C4891024         C4891028
Involved Party / Country: 
Pfizer / United States
Awareness Date: 
16-Aug-2022 
Quality Event Description: 
A Virtual Pre-Trial Assessment (PTA) was completed at MD Anderson (Houston, TX) by the local SRP on 16-Aug-2022. The SRP was not able to have a visual inspection of the patient treatment areas, biopsy areas, imaging areas or the four (4) satellite locations. 
What Should Have Happened: 
A visual assessment of the above-mentioned areas should have occurred. 
Why Did This Event Happen:  
On-site institutional restrictions still in place due to COVID. 
Immediate Actions Taken: 
Post PTA, the site was able to provide pictures of the patient treatment areas dated 26-Oct-2022, pictures of lab dated 26-Oct-2022, there was video present on the institution's website of their imaging facilities dated 10-Oct-2022. The MD Anderson website describes the site's surgical abilities but we are not able to see the biopsy areas. Confirmed the online videos and photos for the four (4) satellite locations are current as of 01-Nov-2022 per the below from the site.
Site's response to Pfizer Inquiry: "The League City, Sugar Land, and West Houston information is current and correct. The Woodlands info is a video from the former location before the site moved in 2019. I am not aware of a more current video. However, the site would have the same concept/layout, etc as League City and West Houston locations. I also see they utilized Yelp to find photos of West Houston (which are of current facility). I located these photos on Yelp of The Woodlands and can confirm they are photos of the current facility." 
CMCD Information:   
Start Date: 04-Nov-2022  
End Date:   31-Dec-2023
Reason for Start/End Date: To ensure it is in place for the life of study enrolment.
CMCD Requirement Not Met: NV02-GSOP-RF15: Provision must be made for a visual review. The following are the acceptable methods for conducting the visual review:
-On-site visit, [e.g., pre-trial assessment (PTA), site initiation visit (SIV), any visit for the study prior to site activation (preferred method)]
-Video tour (guided or recorded), photos (photos are acceptable but not preferred); including all the items noted above*. Any recorded video tour or photos must have been prepared no longer than 12 months prior to the current assessment. The requirement for a visual review is not mandatory if an on-site visit, including visual review of facilities and equipment has been conducted within the last 12 months.
-If a visual review has been performed in the last 12 months, but there are additional study specific facilities/equipment that have 
not been reviewed, a visual review of the study specific items is required.
Instead of CMCD Requirement: Site selection and activation will be performed with a visual assessment of the facilities as confirmed by the site's provided pictures and email confirmations.  Biopsy area: The MD Anderson website describes the surgical capabilities but does not provide imaging. We want to request an exception since we have previously never requested to visit these areas and will not get permission to view these areas due to patient privacy and sterile area requirements.
Historical Review:  
Vendor / Key Word Search: There were no previous similar Quality Events identified for this Vendor on this protocol upon review of quality database. 
Assessment Comments:  
This quality event represents CMCD non-conformance. The CMCD that is referenced by the event reporter is:  INV02-GSOP 5.0 Investigational Site Selection, Preparation, and Initiation 01-Jun-2022.
For this CMCD QE, the past component occurred during the dates of 16-Aug-2022 to date of QE submission (04-Nov-2022), whereby start date represents the date of the virtual PTA. 
The submission indicates that a virtual PTA was completed at MD Anderson by the local SRP on 16-Aug-2022, but an assessment of the patient treatment areas (biopsy area, imaging area and 4 satellite locations) did not occur due to COVID-19 restrictions. It is noted that the site provided pictures of the areas dated 26-Oct-2022, and online videos and photos for the 4 satellite locations on the institution’s website are current as of 01-Nov-2022 as confirmed by the site.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</si>
  <si>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GCP_T1_Nov-2022_Multiple Protocols: CMCD: Pre-Trial Assessment (PTA) (Coronavirus Impact)_Pfizer_USA</t>
  </si>
  <si>
    <t>NO</t>
  </si>
  <si>
    <t>---</t>
  </si>
  <si>
    <t>Quality Procedures</t>
  </si>
  <si>
    <t>Requirement/process not met</t>
  </si>
  <si>
    <t>INV02-Investigational Site Selection, Preparation, and Initiation</t>
  </si>
  <si>
    <t>Michelle Mikhail</t>
  </si>
  <si>
    <t>Post PTA the site was able to provide pictures of: the patient treatment areas dated 26Oct2022, pictures of lab dated 26Oct2022, there was video present on the institution's website of their imaging facilities dated 10Oct2022.  The MD Anderson website describes the site's surgical abilities but we are not able to see the biopsy areas.  Confirmed the online videos and photos for the four (4) satellite locations are current as of 01Nov2022 per the below from the site.
Site's response to Pfizer Inquiry: "The League City, Sugar Land, and West Houston information is current and correct.
The Woodlands info is a video from the former location before the site moved in 2019. I am not aware of a more current video. However, the site would have the same concept/layout, etc as League City and West Houston locations. I also see they utilized Yelp to find photos of West Houston (which are of current facility). I located these photos on Yelp of The Woodlands and can confirm they are photos of the current facility."
Pfizer Inquiry:
Hi Pamela,
  Just a few more questions about the satellite locations. Your responses are greatly appreciated.
League City Location, There is a video posted on the MD Anderson website regarding the League city location.  Since there is no date on this video, can you please confirm the video is still valid and has not changed?
Sugarland Location, There is a video posted on the MD Anderson website regarding the Sugarland location.  Since there is no date on this video, can you please confirm the video is still valid and has not changed?
Woodlands Location, There is a video dated 03Jun2011 posted on YouTube regarding the Woodlands location.  Since the date of this video is over a year, can you please confirm the video is still valid and has not changed?
West Houston Location, We were able to retrieve the below photos dated 30May2019 from Yelp posted by MD Anderson. The date of these photos are over a year, can you please confirm these photos are still valid and have not changed?</t>
  </si>
  <si>
    <t>MODEL 0 - LEGACY</t>
  </si>
  <si>
    <t>Oncology</t>
  </si>
  <si>
    <t>(Empty)</t>
  </si>
  <si>
    <t>QE-075524</t>
  </si>
  <si>
    <t>PFIZER, PPD, INC.</t>
  </si>
  <si>
    <t>PPD CRO started project management activities on protocol Arvinas ARV-471 project's C4891026 protocol before the work order was fully executed. On 28-Sep-2023, Lead CSTL for the Arvinas project, Bella Pandya, informed me that this protocol was not part of the umbrella studies (C4891006, 1023, and 1024) where investigational sites, PPD staff and PPD project management work across these protocols.  C4891026 would be a stand-alone protocol.  So project management tasks, as part of the work orders on the umbrella studies, would not be part of the work orders for C4891026.  On 10-Oct-2023, Lead Study Manager, Michelle Mikhail, informed me that the work order had not been executed yet.  The C4891026 SOW for PPD included project management tasks. On 11-Oct-2023, I emailed the C4891026 CSTL, Heather Davidson, to ask how could PPD have started work before approval of the Clinical Trial Budget, which is required prior to work order execution and creation of the Purchase Order.   On 12-Oct-2023, the PPD operational director, Matt Wigley, confirmed that PPD staff were doing project management tasks on C4891026.  I indicated my concern to him that work had started prior to an executed work order.  On 12-Oct-2023, I contacted the Outsourcing Lead, Collins Owens, about my concern that this may be a Quality Event.</t>
  </si>
  <si>
    <t>GCP_Minor_Oct-2023_C4891026: Vendor Engagement_PPD, Inc; Pfizer_Global</t>
  </si>
  <si>
    <t>No</t>
  </si>
  <si>
    <t>QMS09-Vendor Engagement</t>
  </si>
  <si>
    <t>Alexander Polman</t>
  </si>
  <si>
    <t xml:space="preserve">Contact CSTL and Outsourcing Lead </t>
  </si>
  <si>
    <t>NA</t>
  </si>
  <si>
    <t>Human Performance</t>
  </si>
  <si>
    <t>Learning Error</t>
  </si>
  <si>
    <t>QE-087574</t>
  </si>
  <si>
    <t>1003, 1005, 1006, 1008, 101, 1015, 1018, 1020, 1044, 1065, 1087, 1094</t>
  </si>
  <si>
    <t>Alexander Lesokhin (C1071003-1003), Alexander Lesokhin (C1071005-1094), Alexander Lesokhin (C1071009-1044), Alison Schram (B9991046-1018), Eli Diamond (C4471001-1020), Komal Jhaveri (C4891001-1087), Komal Jhaveri (C4891026-1065), Michael Offin (C4221008-1005), Rachel Grisham (C4161001-1006), Robert Motzer (B9991003-1008), Rona Yaeger (C4221026-1008), Rona Yaeger (C4761001-1015), Sujana Movva (C4961003-101)</t>
  </si>
  <si>
    <t>On December 12th, 2023, the Meow Leaks website, maintained by the “Meow ransomware gang” announced that the Memorial Sloan Kettering Cancer Center (MSKCC) was attacked on December 4, 2023, by Meow Ransomware, and their data would be leaked on the malware group’s web site, Meow Leaks.   A cybersecurity news site article reported the announcement, here: .com/news/memorial-sloan-kettering-cancer-center-claimed-by-ransom-group/" title="https://cybernews.com/news/memorial-sloan-kettering-cancer-center-claimed-by-ransom-group/"https://cybernews.com/news/memorial-sloan-kettering-cancer-center-claimed-by-ransom-group/</t>
  </si>
  <si>
    <t>GCP_Minor_Dec-2023_Multiple: Cyber Security Incident_Multiple_USA_DOWNGRADE</t>
  </si>
  <si>
    <t>&lt;p&gt;&lt;span&gt;Product Protocol Number(s): &amp;nbsp;Multiple&amp;nbsp;&lt;/span&gt;&lt;/p&gt;&lt;p&gt;&lt;br&gt;&lt;/p&gt;&lt;p&gt;&lt;span&gt;Involved Party / Country:&lt;/span&gt;&lt;/p&gt;&lt;p&gt;&lt;span&gt;PI(s): Multiple / USA&lt;/span&gt;&lt;/p&gt;&lt;p&gt;&lt;span&gt;&amp;nbsp;&lt;/span&gt;&lt;/p&gt;&lt;p&gt;&lt;span&gt;Description of the Issue(s):&lt;/span&gt;&lt;/p&gt;&lt;div id="isPasted" style="margin-left: 0in;"&gt;&lt;span style="font-size: 15px; font-family: Calibri, sans-serif;"&gt;&lt;p style="margin-left: 0in;"&gt;&lt;span style="font-size: 15px; font-family: Calibri, sans-serif;"&gt;On 12-Dec-2023, a cybersecurity news site article reported that the Meow Leaks website, maintained by the “Meow ransomware gang,” announced that Memorial Sloan Kettering Cancer Center (MSKCC) was attacked on 04-Dec-2023 by Meow Ransomware. The Meow Leaks website stated MSKCC data would be leaked on the malware group’s web site, “soon”. At the time of the Quality Event (QE) submission, it was not known if or how many participants or studies may be impacted or in what way(s) nor the duration of the cyber incident. Ultimately, no impacts were observed to participant or study data.&amp;nbsp;&lt;/span&gt;&lt;/p&gt;&lt;/span&gt;&lt;/div&gt;</t>
  </si>
  <si>
    <t>Minor/Unrated Quality Event</t>
  </si>
  <si>
    <t>IT Systems</t>
  </si>
  <si>
    <t>IT system security threat/compromise (inappropriate use/access, intrusion detection, mgmt/unintended release of non-subj info)</t>
  </si>
  <si>
    <t>CP411</t>
  </si>
  <si>
    <t>Sie Yan Chin</t>
  </si>
  <si>
    <t xml:space="preserve">Notify Pfizer study team and GSOCWatchRoomPfizer Asset Quality Lead will report to Protect PfizerSYN CRA to contact site staff members to try and obtain more information including the contact information for the individual or team responsible for Information Security at the site (e.g., Chief Information Security Officer, Head of Enterprise Security, Chief Information Officer)SYN GPM to inform study team to immediately stop communicating with the site via email / fax. Site communication should be done via phone until the situation is resolved.  SYN CRA to inform the site to contact CRA via phone to assist with SAE reporting, CRA will forward the information to Safety team.SYN CRA to inform the site to contact IRT helpdesk via phone if they are unable to access randomization / IP dispensation information. </t>
  </si>
  <si>
    <t>Due Diligence</t>
  </si>
  <si>
    <t>N/A</t>
  </si>
  <si>
    <t>QE-100544</t>
  </si>
  <si>
    <t>PFIZER</t>
  </si>
  <si>
    <t>This quality event is related to the clinical study C4891026. CRA did not complete FCPA request submission for the sites 1056 and 1057. Therefore, FCPA approval was not obtained before the site contract.Background is as follows.13-Nov-2023: (Site 1056) PTA completed.16-Nov-2023: (Site 1057) PTA completed.27-Nov-2023: CRA reviewed the GSQ responses of each PI and confirmed that there were GSQ responses within the due date. CRA did not submit the FCPA request, because the CRA miss-understood the process for FCPA of global study properly.28-Nov-2023: CRA shared the presence of GSQ's responses with Japan Study Team, but CRA didn’t confirm of FCPA process.22-Jan-2024: (Site 1056) Start Contract Negotiated.26-Jan-2024: (Site 1056) Clinical Study Agreement Executed.30-Jan-2024: (Site 1057) Start Contract Negotiated.8-Feb-2024: (Site 1057) Clinical Study Agreement Executed.26-Feb-2024: Japan Study Manager asked CRA whether FCPA Approval had been received or not. And Japan study team realized that the FCPA requests had not been submitted. Japan study manager provided the FCPA training to the CRA and asked to submit the FCPA request immediately. CRA submitted FCPA requests for both sites. CRA received notification about FCPA approval for site 1056 PI Dr. Yonemori.Pfizer Japan study manager provid the FCPA training with the CRA on 26-Feb-2024. CRA submitted the FCPA request for both site 1056 and 1057 on 26-Feb-2024. And the CRA received the approval for both site. Japan study manager will share this issue to Japan study managers and CRA will also share the issue with Jaoan monitoring group as lessoned and learned by the end of Feb-2024.27-Feb-2024: CRA received notification about FCPA approval for site 1057 PI Dr. Mukohara.</t>
  </si>
  <si>
    <t>GCP_Minor_Feb-2024_C4891026: Foreign Corrupt Practices Act (FCPA)_Pfizer_JPN</t>
  </si>
  <si>
    <t>Kunimi Matsumi</t>
  </si>
  <si>
    <t>Pfizer Japan study manager provid the FCPA training with the CRA on 26-Feb-2024. CRA submitted the FCPA request for both site 1056 and 1057 on 26-Feb-2024. And the CRA received the approval for both site. Japan study manager will share this issue to Japan study managers and CRA will also share the issue with Japan monitoring group as lessoned and learned by the end of Feb-2024.</t>
  </si>
  <si>
    <t>QE-103298</t>
  </si>
  <si>
    <t>Major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</si>
  <si>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</si>
  <si>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</si>
  <si>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YES</t>
  </si>
  <si>
    <t>&lt;p&gt;Product Protocol Numbers:&amp;nbsp;&lt;/p&gt;&lt;p&gt;C4891001&lt;/p&gt;&lt;p&gt;C4891002&lt;/p&gt;&lt;p&gt;C4891006&lt;/p&gt;&lt;p&gt;C4891023&lt;/p&gt;&lt;p&gt;C4891024&lt;/p&gt;&lt;p&gt;C4891026&lt;/p&gt;&lt;p&gt;&lt;br&gt;&lt;/p&gt;&lt;p&gt;Involved Party:&lt;/p&gt;&lt;p&gt;Pfizer Global&lt;/p&gt;&lt;p&gt;&lt;br&gt;&lt;/p&gt;&lt;p&gt;Protocol Titles:&lt;/p&gt;&lt;p&gt;C4891001: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(VERITAC-2).&lt;/p&gt;&lt;p&gt;&lt;br&gt;&lt;/p&gt;&lt;p&gt;C4891002: A phase 3, randomized, open-label, multicenter study of ARV-471(PF-07850327) plus palbociclib versus letrozole plus palbociclib for the treatment of participants with estrogen receptor-positive, HER2-negative breast cancer who have not received any prior systemic anti-cancer treatment for advanced disease (VERITAC-3).&lt;/p&gt;&lt;p&gt;&lt;br&gt;&lt;/p&gt;&lt;p&gt;C4891006: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Abemaciclib).&lt;/p&gt;&lt;p&gt;&lt;br&gt;&lt;/p&gt;&lt;p&gt;C4891023: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samuraciclib).&lt;/p&gt;&lt;p&gt;&lt;br&gt;&lt;/p&gt;&lt;p&gt;C4891026: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cancer.&lt;/p&gt;&lt;p&gt;&lt;br&gt;&lt;/p&gt;&lt;p&gt;Description of the Issue:&lt;/p&gt;&lt;p&gt;During a routine Regulatory Quality Assurance (RQA) audit conducted on 01 Feb 2024 and 02 Feb 2024 at site 1004 in the C4891001 study (Audit Report# AIA-002725), the auditor noted there was no evidence that the investigator provided adequate investigational product (IP) instructions to the study participants to protect their caregivers on proper handling of hazardous IP ARV-471. The IP is considered hazardous per the IP manual, however all C489 studies (C4891001, C4891002, C4891006, C4891023, C4891024 C4891026) do not contain language pertaining to the proper handling of the hazardous ARV-471 for the caregivers.&lt;/p&gt;</t>
  </si>
  <si>
    <t>Yes</t>
  </si>
  <si>
    <t>Medicinal Product</t>
  </si>
  <si>
    <t>Inadequate handling, storage, availability</t>
  </si>
  <si>
    <t>IP13-Investigational Medicinal Product</t>
  </si>
  <si>
    <t>Shelley Kilgore</t>
  </si>
  <si>
    <t>The C4891001 Global GSM followed-up with the GSMs from the other ARV-471 studies (C4891002, C4891006 and C4891023) and noted the dosing diaries and ICDs for those studies also do not contain language pertaining to the proper handling of the hazardous ARV-471 for the caretaker.  The C4891001 CSTL is adding this topic to the next Clinical sub-team meeting on 18-Mar-24 to determine next steps for incorporating standard hazardous ARV-471 handling language into the C489 ICDs and dosing diaries.</t>
  </si>
  <si>
    <t>Pfizer guidance documents are focused on the safety of the study participants. The Safety Core Data sheet section 8 for Occupational Exposure provide instructions to Health Care Professional that work in the drug preparation and for which the Level of Exposure (LOE) is potentially higher than the safe level. There is no mention of the Safety of the caregivers who may come in contact with Investigational Product (IP) ARV-471 in any Pfizer guidance document.</t>
  </si>
  <si>
    <t>Method/Procedure</t>
  </si>
  <si>
    <t>Procedure/Form/Plan</t>
  </si>
  <si>
    <t>Inconsistency Between Documents (Document Standard Lacking/Incorrect Standard Content)</t>
  </si>
  <si>
    <t>QE-103623</t>
  </si>
  <si>
    <t>1002, 1005, 1007, 1009, 1033, 1061, 1062</t>
  </si>
  <si>
    <t>Amita Patnaik (C4891026-1062), Drew Rasco (C5321001-1009), Justin Call (C4891026-1061), Kyriakos Papadopoulos (C4761001-1033), Manish Sharma (C4161001-1005), Manish Sharma (C4391001-1007), Manish Sharma (C4391002-1002), Manish Sharma (C4481001-1002)</t>
  </si>
  <si>
    <t>Cyber security incident affecting the South Texas Accelerated Research Therapeutics (START) Center for Cancer Care</t>
  </si>
  <si>
    <t>GCP_Major_Mar-2024_Multiple: Cyber Security Incident_Multiple PIs; START; Syneos Health_USA</t>
  </si>
  <si>
    <t>&lt;p&gt;Product Protocol Number(s):&amp;nbsp;&lt;/p&gt;&lt;p&gt;C4161001, C4391001, C4391002, C4481001,C4761001, C4891026, C5321001, C5391001, C5761001, C5831001, C5851001&lt;/p&gt;&lt;p&gt;&amp;nbsp;&lt;/p&gt;&lt;p&gt;Involved Party / Site / Country:&amp;nbsp;&lt;/p&gt;&lt;p&gt;Principal Investigators:&amp;nbsp;&lt;/p&gt;&lt;p&gt;Sharma, Manish (Site Number: C4391001-1007; C4161001-1005; C4391002-1002; C4481001-1002; C4891026-1059; C5391001-1011 ) / United States&amp;nbsp;&lt;/p&gt;&lt;p&gt;Papadopoulos, Kyriakos (C4761001-1033) / United States&amp;nbsp;&lt;/p&gt;&lt;p&gt;Call, Justin (C4891026-1061, C5761001-10002, C5851001-10003) / United States&amp;nbsp;&lt;/p&gt;&lt;p&gt;Rasco, Drew (C5321001-1009) / United States &amp;nbsp;&lt;/p&gt;&lt;p&gt;Patnaik, Amita (C4891026-1062, C5761001-10001) / United States&amp;nbsp;&lt;/p&gt;&lt;p&gt;PI: Lakhani, Nehal (C5761001-10003, C5831001-10004)&lt;/p&gt;&lt;p&gt;Institution: South Texas Accelerated Research Therapeutics (START)&amp;nbsp;&lt;br&gt;&lt;br&gt;&lt;/p&gt;&lt;p&gt;Protocol Title(s):&lt;/p&gt;&lt;p&gt;&lt;br&gt;&lt;/p&gt;&lt;p&gt;C4161001 Phase 1/2a Dose Escalation, Finding and Expansion Study Evaluating Safety, Tolerability, Pharmacokinetics, Pharmacodynamics and Anti-Tumor Activity of PF-07104091 As A Single Agent and in Combination Therapy&lt;/p&gt;&lt;p&gt;C4391001 A Phase 1/2a Study Evaluating the Safety, Tolerability, Pharmacokinetics, Pharmacodynamics, and Anti-Tumor Activity of PF-07220060 as a Single Agent and as Part of Combination Therapy in Participants with Advanced Solid Tumors&lt;/p&gt;&lt;p&gt;C4391002 A Phase 1b/2, Open-Label, Multicenter, Dose Escalation and Dose Expansion Study to Evaluate the Safety, Tolerability, Pharmacokinetics, Pharmacodynamics, and Antitumor Activity of PF-07220060 In Combination with PF-07104091 plus Endocrine Therapy in Participants with Advanced Solid Tumors&lt;/p&gt;&lt;p&gt;C4481001, SHP2 - A Phase 1, Open-Label, Multi-Center, Dose Escalation and Dose Expansion Study to Evaluate the Safety, Tolerability, Pharmacokinetics, and Preliminary Evidence of Anti-Tumor Activity Of PF-07284892 (ARRY-558) as a Single Agent and in Combination Therapy in Participants with Advanced Solid Tumors&lt;/p&gt;&lt;p&gt;C4761001 A Phase 1, Open-Label, Dose Escalation and Dose Expansion Study to Evaluate the Safety, Tolerability, Pharmacokinetics, and Anti-Tumor Activity Of PF-07799933 (ARRY-440) As A Single Agent and in Combination Therapy in Participants 16 Years And Older with Advanced Solid Tumors with BRAF Alterations&lt;/p&gt;&lt;p&gt;C4891026 (Alias: Tactive-K)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Cancer&lt;/p&gt;&lt;p&gt;C5321001 First-In-Human (FIH), Open-Label, Phase 1 Dose Escalation and Expansion Study Designed to Evaluate the Safety, Tolerability, PK, PD, and Preliminary Clinical Activity of PF-07826390 as a Single Agent or in Combination Treatment for Participants with Advanced Solid Tumors&lt;/p&gt;&lt;p&gt;C5391001 A Phase 1 Dose Escalation and Expansion Study to Evaluate Safety, Tolerability, Pharmacokinetic, Pharmacodynamic, and Antitumor Activity of PF-07820435 as Monotherapy and in Combination in Participants with Advanced Solid Tumors&lt;/p&gt;&lt;p&gt;C5761001 (SGNB7H4V-001) A Phase 1 Study of SGN-B7H4V in Advanced Solid Tumors&lt;/p&gt;&lt;p&gt;C5831001 (SGNCEA5C-001) An open-label phase 1 study to investigate SGN-CEACAM5C in adults with advanced solid tumors&lt;/p&gt;&lt;p&gt;C5851001 (SGNPDL1V-001) A Phase 1 Study of SGN-PDL1V in Advanced Solid Tumors&lt;/p&gt;&lt;p&gt;&lt;br&gt;&lt;/p&gt;&lt;p&gt;Description of the Issue:&lt;/p&gt;&lt;p&gt;&lt;br&gt;&lt;/p&gt;&lt;p&gt;On 11-Mar-2024 Pfizer was informed by a Contract Research Organization (Syneos Health) contact of a cyber incident that had occurred on 15-Feb-2024 in the South Texas Accelerated Research Therapeutics (START) – US sites. The incident was classified by the institution as ransomware. The institution was involved in 8 ongoing Pfizer studies: C4161001, C4391001, C4391002, C4481001, C4761001,C4891026, C5321001, C5391001 and 3 Legacy-Seagen studies C5761001, C5831001, C5851001.&lt;/p&gt;&lt;p&gt;Per START institution, no electronic medical records systems or clinical trial systems were known to have been impacted by the Incident. There was no disruption to patient treatment or care.&amp;nbsp;&lt;/p&gt;&lt;p&gt;&lt;br&gt;&lt;/p&gt;</t>
  </si>
  <si>
    <t>Quality Event only required gap analysis investigation</t>
  </si>
  <si>
    <t>In response to learning of this cyberattack, Syneos Health Information Security has implemented precautions, including but not limited to added antivirus scanning on emails from the institution and password resets for employees who have recently visited the site. To note, it is unclear at the moment if the START Midwest location is impacted by this cyberattack, so as a precautionary measure, Syneos are moving forward assuming they are impacted as well. Inform the site to contact CRA via phone to assist with SAE reporting. The CRA should forward all SAE reporting to the Safety team.Inform the site to contact IRT helpdesk via phone if they are unable to access randomization / IP dispensation information. Syneos health staff are reminded to report to Syneos Health if they receive any suspicious calls, emails or other contacts that are unexpected or seek sensitive information like banking details, patient data, or other sensitive documents related to the studies at this site.</t>
  </si>
  <si>
    <t>Gap analysis</t>
  </si>
  <si>
    <t>Gap Analysis</t>
  </si>
  <si>
    <t>1011, 1059</t>
  </si>
  <si>
    <t>Manish Sharma (C4891026-1059), Manish Sharma (C5391001-1011)</t>
  </si>
  <si>
    <t>SYNEOS HEALTH LLC</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</si>
  <si>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</si>
  <si>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</si>
  <si>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</si>
  <si>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</si>
  <si>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</si>
  <si>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</si>
  <si>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</si>
  <si>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</si>
  <si>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</si>
  <si>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Omission Error</t>
  </si>
  <si>
    <t>QE-117676</t>
  </si>
  <si>
    <t>ISF documents not distributed to site 1059 prior to site activation. Site activation checklist was checked off for ISF sent to site by Site Care Partner, however the Site Activation Partner failed to request the distribution from the CTA group. Site has its own electronic ISF system (Veeva Vault) and it is being evaluated for required missing documents, if any.</t>
  </si>
  <si>
    <t>GCP_Minor_May-2024_C4891026: Investigator Site File (ISF)_Pfizer_USA</t>
  </si>
  <si>
    <t>Julia De Aveiro Morata</t>
  </si>
  <si>
    <t>Site Activation Partner was requested to distribute the documents to the site immediately.</t>
  </si>
  <si>
    <t>QE-122798</t>
  </si>
  <si>
    <t>1003, 1010, 1013, 1037, 1093, 1425</t>
  </si>
  <si>
    <t>Amy Chien (C4891006-1010), Amy Chien (C4891023-1010), Amy Chien (C4891026-1010), Andrew Leavitt (C0371002-1093), Andrew Leavitt (C3731003-1003), Hope Rugo (A5481173-1010), Hope Rugo (C4391022-1425), Hope Rugo (C4551001-1037), Kieuhoa Vo (A5481092-1003), Sofia Verstraete (A3921210-1013)</t>
  </si>
  <si>
    <t>Past/Ongoing studies (C4891006, 1891023, C4551001, A5481173, 5481092) and studies in start-up (C4891026, C4391022) do not have prior internal documentation that the site specific IPAL was reviewed and authorization given to site to use site specific IPAL. In addition, the site does not provide access to all pharmacy source to sponsor representatives (eg: Site Monitor and Site Care Partner) specifically source to verify or QC 2nd IP verifier. Site uses an electronic IP accountability system called Vestigo. Vestigo captures the 1st IP Verifier.  Vestigo review access is granted to sponsor representatives. The 2nd IP verifier is captured on a paper form that is filed in a physical binder in the pharmacy. This form is not scanned and uploaded into Vestigo. The pharmacy does not currently allow visitors so sponsor representatives are until to view the pharmacy binder.  Site's current SOP does not include process regarding 2nd IP verifier.  However, site pharmacist recently informed Site Care Partner that site pharmacy is in the process of updating SOP to reflect this.</t>
  </si>
  <si>
    <t>GCP_Major_Jun-2024_Multiple Studies: CMCD: Process: IPAL Review, 2nd IP Verifier and Site SOP_UCSF; PPD; Syneos; ICON; Pfizer_USA</t>
  </si>
  <si>
    <t>&lt;p&gt;&lt;span style="font-size: 11pt;"&gt;&lt;span style="font-family: Arial, sans-serif;"&gt;Product Protocol Number&lt;/span&gt;&lt;/span&gt;&lt;/p&gt;&lt;p&gt;&lt;span style="font-size: 11pt;"&gt;&lt;span style="font-family: Arial, sans-serif;"&gt;C0371002&lt;/span&gt;&lt;/span&gt;&lt;/p&gt;&lt;p&gt;&lt;span style="font-size: 11pt;"&gt;&lt;span style="font-family: Arial, sans-serif;"&gt;C3731003&lt;/span&gt;&lt;/span&gt;&lt;/p&gt;&lt;p&gt;&lt;span style="font-size: 11pt;"&gt;&lt;span style="font-family: Arial, sans-serif;"&gt;C4551001&lt;/span&gt;&lt;/span&gt;&lt;/p&gt;&lt;p&gt;&lt;span style="font-size: 11pt;"&gt;&lt;span style="font-family: Arial, sans-serif;"&gt;C4391022&lt;/span&gt;&lt;/span&gt;&lt;/p&gt;&lt;p&gt;&lt;span style="font-size: 11pt;"&gt;&lt;span style="font-family: Arial, sans-serif;"&gt;C4891006&lt;/span&gt;&lt;/span&gt;&lt;/p&gt;&lt;p&gt;&lt;span style="font-size: 11pt;"&gt;&lt;span style="font-family: Arial, sans-serif;"&gt;C4891023&lt;/span&gt;&lt;/span&gt;&lt;/p&gt;&lt;p&gt;&lt;span style="font-size: 11pt;"&gt;&lt;span style="font-family: Arial, sans-serif;"&gt;C4891026&lt;/span&gt;&lt;/span&gt;&lt;/p&gt;&lt;p&gt;&lt;span style="font-size: 11pt;"&gt;&lt;span style="font-family: Arial, sans-serif;"&gt;A5481173&lt;/span&gt;&lt;/span&gt;&lt;/p&gt;&lt;p&gt;&lt;span style="font-size: 11pt;"&gt;&lt;span style="font-family: Arial, sans-serif;"&gt;A5481092&lt;/span&gt;&lt;/span&gt;&lt;/p&gt;&lt;p&gt;&lt;span style="font-size: 11pt;"&gt;&lt;span style="font-family: Arial, sans-serif;"&gt;A3921210&lt;/span&gt;&lt;/span&gt;&lt;/p&gt;&lt;p&gt;&lt;span style="font-size: 11pt;"&gt;&lt;span style="font-family: Arial, sans-serif;"&gt;&amp;nbsp;&lt;/span&gt;&lt;/span&gt;&lt;/p&gt;&lt;p&gt;&lt;span style="font-size: 11pt;"&gt;&lt;span style="font-family: Arial, sans-serif;"&gt;Involved Party / Site Number / Country&lt;/span&gt;&lt;/span&gt;&lt;/p&gt;&lt;p&gt;&lt;span style="font-size: 11pt;"&gt;&lt;span style="font-family: Arial, sans-serif; color: rgb(0, 0, 0);"&gt;PI: Leavitt, Andrew / C0371002 Site Number 1093 / United States&lt;/span&gt;&lt;/span&gt;&lt;/p&gt;&lt;p&gt;&lt;span style="font-size: 11pt;"&gt;&lt;span style="font-family: Arial, sans-serif; color: rgb(0, 0, 0);"&gt;PI: Leavitt, Andrew / C3731003 Site Number 1003 / Unites States&lt;/span&gt;&lt;/span&gt;&lt;/p&gt;&lt;p&gt;&lt;span style="font-size: 11pt;"&gt;&lt;span style="font-family: Arial, sans-serif; color: rgb(0, 0, 0);"&gt;PI:&amp;nbsp;&lt;/span&gt;&lt;span style="font-family: Arial, sans-serif; color: rgb(0, 0, 0);"&gt;Verstraete, Sofia&amp;nbsp;&lt;/span&gt;&lt;span style="font-family: Arial, sans-serif; color: rgb(0, 0, 0);"&gt;/ A3921210 Site Number 1013 / United States&lt;/span&gt;&lt;/span&gt;&lt;/p&gt;&lt;p&gt;&lt;span style="font-size: 11pt;"&gt;&lt;span style="font-family: Arial, sans-serif; color: rgb(0, 0, 0);"&gt;PI: Vo, Kieuhoa&amp;nbsp;&lt;/span&gt;&lt;span style="font-family: Arial, sans-serif; color: rgb(0, 0, 0);"&gt;/ A5481092 Site Number 1003 / United States&lt;/span&gt;&lt;/span&gt;&lt;/p&gt;&lt;p&gt;&lt;span style="font-size: 11pt;"&gt;&lt;span style="font-family: Arial, sans-serif; color: rgb(0, 0, 0);"&gt;PI: Rugo, Hope&amp;nbsp;&lt;/span&gt;&lt;span style="font-family: Arial, sans-serif; color: rgb(0, 0, 0);"&gt;/ C4551001 Site Number 1037 / United States&lt;/span&gt;&lt;/span&gt;&lt;/p&gt;&lt;p&gt;&lt;span style="font-size: 11pt;"&gt;&lt;span style="font-family: Arial, sans-serif; color: rgb(0, 0, 0);"&gt;PI: Rugo, Hope&amp;nbsp;&lt;/span&gt;&lt;span style="font-family: Arial, sans-serif; color: rgb(0, 0, 0);"&gt;/ A5481173 Site Number 1010 / United States&lt;/span&gt;&lt;/span&gt;&lt;/p&gt;&lt;p&gt;&lt;span style="font-size: 11pt;"&gt;&lt;span style="font-family: Arial, sans-serif; color: rgb(0, 0, 0);"&gt;PI: Rugo, Hope&amp;nbsp;&lt;/span&gt;&lt;span style="font-family: Arial, sans-serif; color: rgb(0, 0, 0);"&gt;/ 4391022 Site Number 1425 / United States&lt;/span&gt;&lt;/span&gt;&lt;/p&gt;&lt;p&gt;&lt;span style="font-size: 11pt;"&gt;&lt;span style="font-family: Arial, sans-serif; color: rgb(0, 0, 0);"&gt;PI: Chien, Amy Jo&amp;nbsp;&lt;/span&gt;&lt;span style="font-family: Arial, sans-serif; color: rgb(0, 0, 0);"&gt;/ C4891006 Site Number 1010 / United States&lt;/span&gt;&lt;/span&gt;&lt;/p&gt;&lt;p&gt;&lt;span style="font-size: 11pt;"&gt;&lt;span style="font-family: Arial, sans-serif; color: rgb(0, 0, 0);"&gt;PI: Chien, Amy Jo&amp;nbsp;&lt;/span&gt;&lt;span style="font-family: Arial, sans-serif; color: rgb(0, 0, 0);"&gt;/ C4891023 Site Number 1010 / United States&lt;/span&gt;&lt;/span&gt;&lt;/p&gt;&lt;p&gt;&lt;span style="font-size: 11pt;"&gt;&lt;span style="font-family: Arial, sans-serif; color: rgb(0, 0, 0);"&gt;PI: Chien, Amy Jo&amp;nbsp;&lt;/span&gt;&lt;span style="font-family: Arial, sans-serif; color: rgb(0, 0, 0);"&gt;/ C4891026 Site Number 1010 / United States&lt;/span&gt;&lt;/span&gt;&lt;/p&gt;&lt;p&gt;&lt;span style="font-size: 11pt;"&gt;&lt;span style="font-family: Arial, sans-serif; color: rgb(0, 0, 0);"&gt;Vendor: PPD / United States&lt;/span&gt;&lt;/span&gt;&lt;/p&gt;&lt;p&gt;&lt;span style="font-size: 11pt;"&gt;&lt;span style="font-family: Arial, sans-serif; color: rgb(0, 0, 0);"&gt;Vendor: Syneos Health / United States&lt;/span&gt;&lt;/span&gt;&lt;/p&gt;&lt;p&gt;&lt;span style="font-size: 11pt;"&gt;&lt;span style="font-family: Arial, sans-serif; color: rgb(0, 0, 0);"&gt;Vendor: ICON / United States&lt;/span&gt;&lt;/span&gt;&lt;/p&gt;&lt;p&gt;&lt;span style="font-size: 11pt;"&gt;&lt;span style="font-family: Arial, sans-serif; color: rgb(0, 0, 0);"&gt;Pfizer / United States&lt;/span&gt;&lt;/span&gt;&lt;/p&gt;&lt;p&gt;&lt;span style="font-size: 11pt;"&gt;&lt;span style="font-family: Arial, sans-serif; color: rgb(0, 0, 0);"&gt;&amp;nbsp;&lt;/span&gt;&lt;/span&gt;&lt;/p&gt;&lt;p&gt;&lt;span style="font-size: 11pt;"&gt;&lt;span style="font-family: Arial, sans-serif; color: rgb(0, 0, 0);"&gt;To document Investigational Product (IP) dispensing, Pfizer requires that Investigator sites utilize Pfizer’s Investigational Product Accountability Log (IPAL) or an equivalent form or system. The Pfizer IPAL requires the Investigator site to document verification of IP dispensing by a second individual. The Investigator’s IP dispensing process and associated documentation is discussed as part of the Pre-Trial Assessment (PTA) of the site, before site initiation. It is the responsibility of the individual conducting the PTA to confirm that the site will use the Pfizer IPAL or an equivalent form or system that meets the requirements included in the Pfizer IPAL.&amp;nbsp;&lt;/span&gt;&lt;/span&gt;&lt;/p&gt;&lt;p&gt;&lt;span style="font-size: 11pt;"&gt;&lt;span style="font-family: Arial, sans-serif; color: rgb(0, 0, 0);"&gt;&amp;nbsp;&lt;/span&gt;&lt;/span&gt;&lt;/p&gt;&lt;p&gt;&lt;span style="font-size: 11pt;"&gt;&lt;span style="font-family: Arial, sans-serif; color: rgb(0, 0, 0);"&gt;Ten ongoing studies have Investigator sites at the University of California in San Francisco (UCSF) which utilizes a central pharmacy for dispensing of IP. On 10 Jun 2024, during a Site Initiation Visit (SIV) for C4891026 at site 1010, the Pfizer Site Care Partner (SCP) noted that the pharmacy utilized the Vestigo system for IP dispensing in place of the Pfizer IPAL. When questioned about whether the Vestigo system could document a second verifier for IP dispensing the pharmacy informed the SCP that their system did not document a second verifier. The pharmacy stated it was their process to document the verification of IP dispensing by a second individual on a separate paper form which was filed in a binder within the pharmacy. When questioned further about their standard operating procedure (SOP), it was noted that the documentation of a second verifier was not included in the pharmacy’s SOP. The paper form filed in the pharmacy was not accessible to Site Monitors or SCPs as they are not granted access to the pharmacy, and therefore the Site Monitors and SCPs could not confirm that IP was verified by a second individual before being prepared and administered to study participants.&lt;/span&gt;&lt;/span&gt;&lt;/p&gt;&lt;p&gt;&lt;span style="font-size: 11pt;"&gt;&lt;span style="font-family: Arial, sans-serif; color: rgb(0, 0, 0);"&gt;&amp;nbsp;&lt;/span&gt;&lt;/span&gt;&lt;/p&gt;&lt;p&gt;&lt;span style="font-size: 11pt;"&gt;&lt;span style="font-family: Arial, sans-serif;"&gt;The following issues were noted:&lt;/span&gt;&lt;/span&gt;&lt;/p&gt;&lt;ol&gt;&lt;li&gt;&lt;span style="font-family: Arial, sans-serif;"&gt;The UCSF pharmacy process was not adequately documented to demonstrate compliance with Pfizer requirements for a second verifier for IP dispensing, however eleven PTAs were completed for the impacted ten studies between 2018 and 2023 and none of the PTA reports indicated that the pharmacy’s Vestigo system did not document a second verifier.&lt;/span&gt;&lt;/li&gt;&lt;li&gt;&lt;span style="font-family: Arial, sans-serif;"&gt;Site Monitors conducted Monitoring Visits at ongoing sites at UCSF but did not identify the lack of a second verifier for IP dispensing.&lt;/span&gt;&lt;/li&gt;&lt;/ol&gt;</t>
  </si>
  <si>
    <t>Other</t>
  </si>
  <si>
    <t>INV02-Investigational Site Selection, Preparation, and Initiation, No Process Assigned</t>
  </si>
  <si>
    <t>Susan Espolong-Kanda</t>
  </si>
  <si>
    <t>During C4891026 Site Initiation Visit, Site Care Partner (SCP) informed site of the requirement  for sponsor representatives to be able to view 2nd IP verifier source.  Site Care Partner requested access to this source be made available, but site pharmacy would not agree as this is not their current practice and sponsor representatives have not raised this on past studies.  SCP reached out to Site Monitors and prior and current SCPs working on study to confirm if there was any other 2nd IP verifier source outside of pharmacy records. SCP opened a QE for sister study C4891023 (QE-121748) which was closed.  SCP also submitted an inquiry to INV02-INV04 BPO, to inquire about alternative 2nd IP verifier documentation that would be acceptable for non-pharmacy staff to provide.  SCP for C4891023/C4891026 also informed other SCPs with assigned studies with UCSF breast oncology group. Since this was found to be a broader issue for all studies at institution, a 2nd QE is being opened. Please note: entering date of occurrence as SIV for a sister study reporting SCP is currently assigned, but could be earlier for other studies.</t>
  </si>
  <si>
    <t>Gap Analysis, The Site Monitors did not have adequate knowledge of the requirements or know how to verify that requirements were being met.</t>
  </si>
  <si>
    <t>Gap Analysis, Human Performance</t>
  </si>
  <si>
    <t>Learning Error, N/A</t>
  </si>
  <si>
    <t>Inadequate Information for Determination, N/A</t>
  </si>
  <si>
    <t>ICON PLC, PFIZER, PPD, INC., SYNEOS HEALTH LLC</t>
  </si>
  <si>
    <t>QE-123623</t>
  </si>
  <si>
    <t>Adriana Kahn (C4891024-1044), Adriana Kahn (C4891026-1044)</t>
  </si>
  <si>
    <t>The Site Signature and Delegation of Duties Log does not contain all required Pfizer elements.  The version is not included in the log.</t>
  </si>
  <si>
    <t>GCP_Minor_Jun-2024_C4891024, C4891026: CMCD: Signature Sheet and Delegation of Duties Log (SSDDL)_Kahn, Adriana_USA</t>
  </si>
  <si>
    <t>Failure to use adequate controls (e.g., Required Forms, templates)</t>
  </si>
  <si>
    <t>Judith Pride</t>
  </si>
  <si>
    <t>CMCD exception submitted</t>
  </si>
  <si>
    <t>QE-124716</t>
  </si>
  <si>
    <t>Sileny Han (C4891026-1066)</t>
  </si>
  <si>
    <t>SIV at site 1066 (C4891026 study) was scheduled for 02Jul2024. In the last month prior to the scheduled SIV date, a handover from 1 contract negotiator to another took place. While budget negotiations were moving well, some delays came up in the last couple of weeks. Concerns in regard to progress discussed and contract negotiator confirmed that SIV 02Juk2024 should be possible. Site was informed about the concerns and the possibility that SIV might need to be postponed. Site confirmed that only two signatures are expected on their end and that they believed there should not be an issue with collecting both signatures at latest on 02Jul2024. In case SIV would need to be postponed, site earliest availability would be second half of September 2024 due to summer holiday and limited site staff availability at site during summer. cSOM discussed with SUPM about possible scenarios and assessment was made that there would be a small risk that contract would not be fully executed on 02Jul2024, therefore it was decided to go ahead with the SIV on 02Jul2024 taking into account that otherwise SIV would be postponed for at least 11 weeks. Contract signature process was started on 01Jul2024. While Pfizer already signed the contract on 01Jul2024, PI signed on 02Jul2024, but unfortunately site's CEO only signed in the morning of 03Jul2024. At noon on 03Jul2024, only IIP approval is pending in order to activate the site. All other items are in place.</t>
  </si>
  <si>
    <t>GCP_Minor_Jul-2024_C4891026: Site Initiation Visit (SIV) and Contract_Han, Sileny; Pfizer_BEL</t>
  </si>
  <si>
    <t>Ine Jehaes</t>
  </si>
  <si>
    <t xml:space="preserve">Informed SUPM last signature on contract is dated 03Jul2024.Reported QE. </t>
  </si>
  <si>
    <t>Decision Error</t>
  </si>
  <si>
    <t>QE-125834</t>
  </si>
  <si>
    <t>A CMCD was originally submitted and approved in the legacy quality management system: (PR ID 2226522).  Due to an administrative oversight, although the request for extension was requested prior to the end date of 06-Jul-2024, the extension request was not processed in time, and nonconformance is continuing as a new CMCD exception is processed in eQMS.  Accordingly this quality event documents the nonconformance between the period between 7-Jul-24 and the approval of this new exception request.</t>
  </si>
  <si>
    <t>GCP_Minor_Jul-2024_Multiple Studies: QMS04 CMCD Exception Extension Request_Pfizer_Global</t>
  </si>
  <si>
    <t>QMS04-Management of Procedural Documents</t>
  </si>
  <si>
    <t>Helen Adair-Vos</t>
  </si>
  <si>
    <t>Since we cannot extend the expired exception in the legacy system, a new exception request was submitted in eQMS on 09-Jul-24</t>
  </si>
  <si>
    <t>QE-133330</t>
  </si>
  <si>
    <t>PPD, INC.</t>
  </si>
  <si>
    <t>PPD Global Central Labs shipped a batch of 15 ARV-471 PK samples for C4891026 at room temperature and included no temperature monitoring device. The DHL AWB was 3148850526. Shipment  arrival date at Labcorp 12-Aug-2024.</t>
  </si>
  <si>
    <t>GCP_Minor_Aug-2024_C4891026: Biospecimen Sample Management_PPD_SGP</t>
  </si>
  <si>
    <t>Equipment, Facility and Sample/Specimens</t>
  </si>
  <si>
    <t>Inadequate sample/specimen collection and management</t>
  </si>
  <si>
    <t>CT29-Management of Clinical Study BioSpecimens</t>
  </si>
  <si>
    <t>Andrew Marshall</t>
  </si>
  <si>
    <t>Requested PPD investigate root-cause, Determined whether backup samples needed to be dispatched immediately or not.  Back-up samples will be sent for analysis in next shipment batch.</t>
  </si>
  <si>
    <t>Application Error</t>
  </si>
  <si>
    <t>QE-137993</t>
  </si>
  <si>
    <t>It was discovered on 12sep24 that one of our SCP in France forgot to perform her IP handling training in Firecrest before perofmring SIV for C4891024 and C4891026 studies whereas the training is mandatory as per Study Training Plan on both studies.The SCP did well complete the following protocol training before SIV:On C4891024: C4891024 Study Protocol Specific Training Amendment 1 and C4891024 Study Protocol Specific Training Amendment 1 (updated)On C4891026: C4891026 Study Protocol Specific Training Amendment 1 and 2 In addition, PI and Site pharmacist of her sites already activated on C4891024 and C4891026 studies have well performed all the available versions of IP Handling Training by using the Firecrest Platform (before activation of the site), meaning that there is no impact on the sites as they are fully and appropriately trained. Please be informed that there is no patient screened or randomized on these sites.  Please see summary below. .8476821192053%" valign="top".3pt; background-color: rgb(247, 202, 172);"Study.503311258278146%" valign="top".8pt; background-color: rgb(247, 202, 172);"Site Activated.32450331125828%" valign="top".5pt; background-color: rgb(247, 202, 172);"IP Handling Training All Versions completed by PI.32450331125828%" valign="top".5pt; background-color: rgb(247, 202, 172);"IP Handling Training All Versions completed by Pharmacist.8476821192053%" valign="top".3pt;"C4891024.503311258278146%" valign="top".8pt;"1040.32450331125828%" valign="top".5pt;"Yes in Firecrest.32450331125828%" valign="top".5pt;"Yes in Firecrest.8476821192053%" valign="top".3pt;"C4891024.503311258278146%" valign="top".8pt;"1049.32450331125828%" valign="top".5pt;"Yes in Firecrest.32450331125828%" valign="top".5pt;"Yes in Firecrest.8476821192053%" valign="top".3pt;"C4891024.503311258278146%" valign="top".8pt;"1051.32450331125828%" valign="top".5pt;"Yes in Firecrest.32450331125828%" valign="top".5pt;"Yes in Firecrest.8476821192053%" valign="top".3pt;"C4891026.503311258278146%" valign="top".8pt;"1049.32450331125828%" valign="top".5pt;"Yes in Firecrest.32450331125828%" valign="top".5pt;"Yes in Firecrest The SCP is currently on annual leave, but cSOM will follow-up with her upon her return in order she performs her mandatory Training into Firecrest  asap and before any other SIV.</t>
  </si>
  <si>
    <t>GCP_Minor_Sep-2024_C4891024, C4891026: Study Training_Pfizer_FRA</t>
  </si>
  <si>
    <t>Training &amp; Qualifications</t>
  </si>
  <si>
    <t>Training not completed or documented in a timely manner</t>
  </si>
  <si>
    <t>CT33-Study Training</t>
  </si>
  <si>
    <t>Doriane POGNANT</t>
  </si>
  <si>
    <t>QE-152071</t>
  </si>
  <si>
    <t>CLARINESS GMBH</t>
  </si>
  <si>
    <t>I wanted to let you know about a potential cyber-security incident with the HCP form on the breast cancer portfolio website for Clariness . This website includes the following studies C4891001, C4891002, C4391024, C4391022, C4891006, C4891023, C4891024, C4391002.. On Sunday 24th November 2024, we started receiving email notifications that the form was being submitted, the submission rate was one form per second and the lasted approximately an hour. The form being completed was not by a genuine user/HCP and was likely to be a bot.  We received approximately 2000 emails.</t>
  </si>
  <si>
    <t>GCP_Minor_Nov-2024_Multiple Studies: Cyber Security Incident_Clariness_USA_ DOWNGRADE</t>
  </si>
  <si>
    <t>&lt;p&gt;N/A&lt;/p&gt;</t>
  </si>
  <si>
    <t>Andrea Gentry</t>
  </si>
  <si>
    <t xml:space="preserve">escalated this to Clariness, and they have updated the CAPTCHA on the website to resolve these issues with automated bots. I have asked for further information regarding this incident including other measures in place to ensure the security on the website. This has also been reported to Protect Pfizer incident response team. </t>
  </si>
  <si>
    <t>QE-162701</t>
  </si>
  <si>
    <t>1018, 1055</t>
  </si>
  <si>
    <t>Manuel Ruiz Borrego (C4391002-1055), Manuel Ruiz Borrego (C4891026-1018)</t>
  </si>
  <si>
    <t>Approved - In Effectiveness Check</t>
  </si>
  <si>
    <t>Site Monitor identified during onsite monitoring visit at site 1055 that adverse event (AE) toxicity grade are not being reported within source documents and CRF correctly, what goes against ALCOACCEA criteria and realistic AE reporting practices. Subjects reviewed: subject 10552005 (all AEs since Oct-24 do not have toxicity grade), 10552002 and 10552001 (50% of AEs since Dec-24 do not have toxicity grade).PI and SI were asked for review and update source documents with addendums as needed during the visit and also in the Follow-Up letter sent on 27Jan2025. Site Monitor will review source documents during next Monitoring Visit to confirm all incorrect data have been updated.</t>
  </si>
  <si>
    <t>GCP_Major_Jan-2025_C4391002 and C4891026: AE Reporting Process; Source Documentation_Ruiz Borrego, Manuel_ESP</t>
  </si>
  <si>
    <t>&lt;p&gt;Product Protocol Number(s):&amp;nbsp;&lt;/p&gt;&lt;p&gt;C4391002&amp;nbsp;&lt;/p&gt;&lt;p&gt;C4891026&lt;/p&gt;&lt;p&gt;&amp;nbsp;&lt;/p&gt;&lt;p&gt;Involved Party / Country:&lt;/p&gt;&lt;p&gt;Principal Investigator (PI): Ruiz Borrego, Manuel / Spain&lt;/p&gt;&lt;p&gt;&lt;br&gt;&lt;/p&gt;&lt;p&gt;Protocol Title(s):&amp;nbsp;&lt;/p&gt;&lt;p&gt;C4391002 - A PHASE 1B/2, OPEN-LABEL, MULTICENTER, DOSE ESCALATION AND DOSE EXPANSION STUDY TO EVALUATE THE SAFETY, TOLERABILITY, PHARMACOKINETICS, PHARMACODYNAMICS, AND ANTITUMOR ACTIVITY OF PF-07220060 IN COMBINATION WITH PF-07104091 PLUS ENDOCRINE THERAPY IN PARTICIPANTS WITH ADVANCED SOLID TUMORS&lt;/p&gt;&lt;p&gt;&lt;br&gt;&lt;/p&gt;&lt;p&gt;C4891026 -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CANCER&lt;/p&gt;&lt;p&gt;&lt;br&gt;&lt;/p&gt;&lt;p&gt;Description of the Issue(s):&lt;/p&gt;&lt;p&gt;The C4391002 study was a Phase 1b/2, open-label, multicenter, nonrandomized, dose escalation and dose expansion study to evaluate the safety, tolerability, pharmacokinetics, pharmacodynamics, and antitumor activity of PF-07220060 and PF-07104091 (doublet combination) in participants with metastatic breast cancer or other advanced solid tumors (Part 1) and when the doublet combination is administered with endocrine therapy in participants with metastatic/advanced breast cancer (Part 2).&lt;/p&gt;&lt;p&gt;&lt;br&gt;&lt;/p&gt;&lt;p&gt;The C4891026 study was a prospective, open-label, multicenter, Phase 1b/2 study to evaluate the safety, antitumor activity, and pharmacokinetics of vepdegestrant in combination with PF-07220060 in the treatment of participants with estrogen receptor positive/human epidermal growth factor receptor two negative advanced/metastatic breast cancer.&lt;/p&gt;&lt;p&gt;&lt;br&gt;&lt;/p&gt;&lt;p&gt;During the 15-17 Jan 2025 C4391002 Site 1055 monitoring visit, the Site Monitor identified that adverse event (AE) toxicity grades were not documented within source documents but were present in Case Report Forms (CRFs) for Participants 10552001 and 10552002 (50% of AEs since Dec 2024 did not have a toxicity grade), 10552005 (all AEs since Oct 2024 did not have toxicity grade), and 10552006 (70% of AEs from 14 Oct 2024 to 26 Dec 2024 missing relationship to Investigational Medicinal Product [IMP]) - which was counter to Attributable, Legible, Contemporaneous, Original, Accurate, Complete, Consistent, Enduring, and Available (ALCOACCEA) source documentation principles. The Site Monitor escalated the issue to the Site Care Partner (SCP) on 27 Jan 2025.&amp;nbsp;&lt;/p&gt;&lt;p&gt;Similar issues were noted at the same site in the C4891026 study. These issues specifically related to out-of-range lab values where there was a lack of clarity in three participants’ source documentation for the Investigator assessment of AE toxicity grading, relationship to IMP, and clinical significance for out-of-range lab values.&lt;/p&gt;</t>
  </si>
  <si>
    <t>AE reporting to Sponsor, Data Collection and Management</t>
  </si>
  <si>
    <t>Inadequate source data/documentation, Incomplete AE reporting, Incomplete or inaccurate data transcription and/or entry</t>
  </si>
  <si>
    <t>AEM01-Adverse Event Monitoring</t>
  </si>
  <si>
    <t>Alicia Calzado Martín</t>
  </si>
  <si>
    <t xml:space="preserve">PI and SI were asked for review and update source documents with addendums as needed during the visit and also in the Follow-Up letter sent on 27Jan2025.Site Monitor will review source documents during next Monitoring Visit to confirm all incorrect data have been updated.Currently, Study Monitor is conducting 100%SDV in all subject's AEs as a result of a previous CAPA.cSOM and gSOM were informed of the issue. </t>
  </si>
  <si>
    <t>Incongruence between the site’s AE documentation process and Pfizer policy. AE toxicity grading and relationship to IMP and laboratory results assessments were performed according to site’s Standard Operating Procedure (SOP) Adverse Event, Version 7 implementation date Jun 2023. This SOP described the site’s management of AEs as summarized: &amp;nbsp; Laboratory results were reviewed via reports within the participant’s electronic medical record and documented in participant progress notes that were signed via electronic signature. Abnormal laboratory results were only considered clinically significant (and therefore an AE) if the abnormal lab result had clinical repercussions such as adjustments in study medication, treatments, or concomitant procedures. (Pfizer process required documented assessment of clinical significance for out-of-range lab values.) AEs related to IMP were noted as ‘toxicities.’ (Pfizer process required documented assessment of relationship to IMP.) In the absence of more specific information in the clinical history, if no action was taken for an AE, it was considered a grade 1. For AEs where action was taken, such as concomitant treatment, the AE was considered a grade 2, unless otherwise specified. (Pfizer process required documented assessment of AE grade.)</t>
  </si>
  <si>
    <t>Inconsistent with Pfizer Requirements (Document Standard Lacking/Incorrect Standard Content)</t>
  </si>
  <si>
    <t>QE-169199</t>
  </si>
  <si>
    <t>Meritxell Bellet Ezquerra (C4891026-1019)</t>
  </si>
  <si>
    <t>During the last Snapshot for study C4891026 conducted in February/March 2025, the site 1019 did not comply with data entry timelines as outlined in INV04-GSOP-RF08 regarding "DATA ENTRY TIMELINESS" in the CRF Inform. Specifically, ECG evaluation data was missing for several patient visits across the three subjects included in the study.</t>
  </si>
  <si>
    <t>GCP_Minor_Mar-2025_C4891026: Data Entry Timeliness (DET)_Bellet Ezquerra, Meritxell_ESP</t>
  </si>
  <si>
    <t>Data Collection and Management</t>
  </si>
  <si>
    <t>Incomplete or inaccurate data transcription and/or entry</t>
  </si>
  <si>
    <t>INV04-Investigational Site Management and Monitoring</t>
  </si>
  <si>
    <t>Nora Murillo Portillo</t>
  </si>
  <si>
    <t>CRA recommended that a Sub-Investigator (SI) could be assigned specifically to evaluate these ECGs to alleviate the burden on the Principal Investigator (PI). Also, SCP and CRA will be meet onsite on next week to re-train the site about the expected number of ECGs to be performed per protocol (3 ECGs per time).</t>
  </si>
  <si>
    <t>Personnel</t>
  </si>
  <si>
    <t>Improper Resources Allocation/Lack of Personnel</t>
  </si>
  <si>
    <t>QE-170101</t>
  </si>
  <si>
    <t>Amy Chien (C4891023-1010)</t>
  </si>
  <si>
    <t>Approved - In CAPA</t>
  </si>
  <si>
    <t>UCSF Medical Center in California, USA was audited on 11 to 12 Sep2024 for C4891023 study (site 1010) and the auditors were refused onsite access to the pharmacy and some relevant pharmacy records for the study. UCSF personnel stated that as per their SOPs monitors and auditors are not allowed access to the pharmacy. The expected CAPA action for this situation was for UCSF to at allow at least an above study onsite visit to the pharmacy C4891023, C4891026, and C489 1006 as all 3 of these studies have the same issue i.e. UCSF repeatedly denying sponsor monitor and auditors onsite access to the pharmacy.  UCSF to date have not allowed onsite visit to their pharmacy hindering the sponsor’s efforts to comply sponsor oversight requirements. The current understanding is that the sponsor has never seen the pharmacy at this facility. UCSF keep providing pre-recorded video of the pharmacy.</t>
  </si>
  <si>
    <t>GCP_Major_Mar-2025_C489: Failed CAPA: Pharmacy Access_Chien, Amy; University California, San Francisco_USA</t>
  </si>
  <si>
    <t>&lt;p&gt;&lt;span&gt;Product Protocol Numbers:&amp;nbsp;&lt;/span&gt;&lt;/p&gt;&lt;p&gt;&lt;span&gt;C4891006&lt;/span&gt;&lt;/p&gt;&lt;p&gt;&lt;span&gt;C4891023&lt;/span&gt;&lt;/p&gt;&lt;p&gt;&lt;span&gt;C4891026&lt;/span&gt;&lt;/p&gt;&lt;p&gt;&lt;span&gt;&amp;nbsp;&lt;/span&gt;&lt;/p&gt;&lt;p&gt;&lt;span&gt;Involved Party / Country:&lt;/span&gt;&lt;/p&gt;&lt;p&gt;&lt;span&gt;PI: Chien, Amy (Site Number: 1010) / United States&lt;/span&gt;&lt;/p&gt;&lt;p&gt;&lt;span&gt;University California, San Francisco&lt;/span&gt;&lt;/p&gt;&lt;p&gt;&lt;span&gt;&amp;nbsp;&lt;/span&gt;&lt;/p&gt;&lt;p&gt;&lt;span&gt;Protocol Titles:&lt;/span&gt;&lt;/p&gt;&lt;p&gt;&lt;span&gt;C4891006: TACTIV-U: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Abemaciclib).&lt;/span&gt;&lt;/p&gt;&lt;p&gt;&lt;span&gt;&amp;nbsp;&lt;/span&gt;&lt;/p&gt;&lt;p&gt;&lt;span&gt;C4891023: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Ribociclib.)&lt;/span&gt;&lt;/p&gt;&lt;p&gt;&lt;span&gt;&amp;nbsp;&lt;/span&gt;&lt;/p&gt;&lt;p&gt;&lt;span&gt;C4891026: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cancer.&lt;/span&gt;&lt;/p&gt;&lt;p&gt;&lt;span&gt;&amp;nbsp;&lt;/span&gt;&lt;/p&gt;&lt;p&gt;&lt;span&gt;Description of the Issue:&lt;/span&gt;&lt;/p&gt;&lt;p&gt;&lt;span&gt;&lt;span style="color: rgb(48, 48, 48); background-color: rgb(255, 255, 255);"&gt;Site 1010 for the impacted studies has not allowed oversight access to the investigational product (IP) pharmacy. The site has provided a pre-recorded video for review during monitoring and oversight activities. Along with an attestation that the videos content is current. The site is also providing virtual confirmation of IP inventory via Zoom call and is demonstrating accountability of records via the Vestigo system and providing access for oversight and monitoring. These practices allow monitoring to be conducted per the requirements of INV04-GSOP &lt;i&gt;Investigational Site Management and Monitoring.&lt;/i&gt; However, the site has refused access to the pharmacy for above study level oversight (i.e. audit and oversight visits) which hinders the ability to complete these oversight activities. This issue was noted during a routine onsite audit on 11 Sep 2024 to 12 Sep 2024. The resultant Corrective and Preventive Action (CAPA) (CAPA-141429) required that an onsite above study pharmacy visit be conducted. However, the site declined to provide physical access to the pharmacy or a live video tour of the pharmacy for oversight purposes.&amp;nbsp;&lt;/span&gt;&lt;/span&gt;&lt;/p&gt;</t>
  </si>
  <si>
    <t>Quality Oversight</t>
  </si>
  <si>
    <t>Inadequate Principal Investigator quality oversight</t>
  </si>
  <si>
    <t>Karen Clarke</t>
  </si>
  <si>
    <t>Study team was contacted to ascertain if UCSF granted the onsite visit to the pharmacy and they had not.</t>
  </si>
  <si>
    <t>The site is committed to limiting traffic into the Investigational Product (IP) Pharmacy due to the number of studies ongoing at the site and the potential risk posed to immuno-compromised patients at the hospital. The site believes that virtual access, along with Board of Pharmacy inspections, meets the needs of sponsors for oversight of the IP Pharmacy.</t>
  </si>
  <si>
    <t>Contracts/Agreements</t>
  </si>
  <si>
    <t>QE-172151</t>
  </si>
  <si>
    <t>SCP did not submit Lab Normal Ranges to UIMS prior to site activation for site 1041 on C4891026 per Pfizer SOP.</t>
  </si>
  <si>
    <t>GCP_Minor_Mar-2025_C4891026: CMCD: Lab Normal Ranges (LNR)_Pfizer_USA</t>
  </si>
  <si>
    <t>Alicia Lenoir</t>
  </si>
  <si>
    <t>Once confirmed, SCP submitted LNRs to UIMS on 09Jan2025.</t>
  </si>
  <si>
    <t>QE-186792</t>
  </si>
  <si>
    <t>Appears that the contact mode on the CRF does not match what was actually performed for the study.  For example, study C5261002, the protocol states that telemedicine is allowed however some visits mark this telemedicine visit as 'IN PERSON, OFFSITE'.   There are other studies effected, will add that when   This effects many protocols.  This appears to be a data entry error issue, not a database build issue.</t>
  </si>
  <si>
    <t>GCP_Minor_Jul-2025_Multiple Studies: CRF Data Entry; Contact Mode_Pfizer_Global, USA</t>
  </si>
  <si>
    <t>No Process Assigned</t>
  </si>
  <si>
    <t>Kenneth Bengtson</t>
  </si>
  <si>
    <t>Confirmed with CSTL that this was entered incorrectly by the site for study C2561002.  Spoke with DM and Quality group to confirm this was a QE.</t>
  </si>
  <si>
    <t>QE-191992</t>
  </si>
  <si>
    <t>Jocelyn Hwang was the primary Site Monitor assigned to studies C4891006, C4891023, C4891024 and C4891026. She planned to leave PPD company, and her departure date was 27Jun2025.The expected Handover calls were conducted as planned with the replacing Monitor, and issues discussed as per updates entered in the INV04-GSOP-SD-GL01 - Site Management/Monitor to Site management/Monitor Transition Document.Due to an oversight, the finalized Site Management/Monitor to Site management/Monitor Transition Document has not been provided to the incoming CRA by Jocelyn Hwang as well as the transition notification to sites and to Pfizer Study Team.</t>
  </si>
  <si>
    <t>GCP_Minor_Jul-2025_Multiple Studies: Monitor Transition Documentation_PPD_USA</t>
  </si>
  <si>
    <t>CAPA Management</t>
  </si>
  <si>
    <t>Inadequate issue evaluation, CAPA development and/or completion (eg., QE, Audit or Inspection)</t>
  </si>
  <si>
    <t>Elke Hartlieb</t>
  </si>
  <si>
    <t>The very first action was the notification to sites about Site Monitor transition, and the clarification to Pfizer Study Manager that sites also have the aCRA (Remote Site Monitor) as primary contact in case of issues, so no risks or missed questions because of such lack of transition notification.With regards to the transition forms, a internal IT request has been made by PPD to recover the forms updated by departing Site Monitor. This is still on going, and once forms are obtained, it will be finalized and filed in pTMF.As of note, since the handover meetings happened between Incoming and Departing Study Monitor, the site management activities can continue despite the form has not been finalized.</t>
  </si>
  <si>
    <t>QE-196243</t>
  </si>
  <si>
    <t>Critical</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</si>
  <si>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</si>
  <si>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</si>
  <si>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</si>
  <si>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Safety surveillance and reporting by Sponsor</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</si>
  <si>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</si>
  <si>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</si>
  <si>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</si>
  <si>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</si>
  <si>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</si>
  <si>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</si>
  <si>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</si>
  <si>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</si>
  <si>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</si>
  <si>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</si>
  <si>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</si>
  <si>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</si>
  <si>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</si>
  <si>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</si>
  <si>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</si>
  <si>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</si>
  <si>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Conflicting or Unclear Roles and Responsibilities (Document Standard Lacking /Incorrect Standard Content)</t>
  </si>
  <si>
    <t>QE-202146</t>
  </si>
  <si>
    <t>Mei Wei (C4891026-1039)</t>
  </si>
  <si>
    <t>Huntsman Cancer Institute will not use the Pfizer INV02-INV04-GSOP-RF09 Signature Sheet and Delegations of Duties Log (SSDDL). Their current process does not meet the minimum requirements of Pfizer's SSDDL.  It does not capture center/site (Identifier ID), title of the document, a complete description of personnel's study specific delegated duties, and Principal investigator initials / dates for each delegation.</t>
  </si>
  <si>
    <t>GCP_Minor_Sep-2025_C5841001; C4891026; C2321014: Signature Sheet and Delegations of Duties Log_Multiple PIs; Huntsman Cancer Institute_United States</t>
  </si>
  <si>
    <t>Personnel inadequately trained to perform their assigned job function</t>
  </si>
  <si>
    <t>Bryce Bartruff</t>
  </si>
  <si>
    <t xml:space="preserve">A CMCD exception was submitted on 06-Aug-2025 by the SCP to review the site's delegation and duties process.  A mitigation plan is in place to confirm PI oversight of delegated staff continuously occurs and is documented throughout the study.  </t>
  </si>
  <si>
    <t>Neeraj Agarwal (C2321003-1014)</t>
  </si>
  <si>
    <t>Vaia Florou (C5841001-10010)</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</si>
  <si>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</si>
  <si>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</si>
  <si>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</si>
  <si>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</si>
  <si>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</si>
  <si>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DMB07-Study Data Set Design and Setup</t>
  </si>
  <si>
    <t>Prathamesh Patil</t>
  </si>
  <si>
    <t>Oracle has implemented preventative fixes to prevent incorrect user attribution in the LNMT audit going forward. Please note that Oracle is unable to retroactively correct past occurrences of this issue.</t>
  </si>
  <si>
    <t>Equipment/System/Facility</t>
  </si>
  <si>
    <t>System/Application</t>
  </si>
  <si>
    <t>QE-227714</t>
  </si>
  <si>
    <t>Jean Frenel (C4891026-1033)</t>
  </si>
  <si>
    <t>On 10 Feb 26 a laboratory technician from site 1033 emailed the site CRA regarding the destruction of lab kits,  following the implementation of PA3. In this email the laboratory technician included patient identities (first and last names) of the two active patients at the site (patients 1033-4002 and 1033-4004).</t>
  </si>
  <si>
    <t>GCP_Minor_Feb-2026_C4891026: Participant Confidentiality / Data Privacy_Frenel, Jean_FRA</t>
  </si>
  <si>
    <t>Data Privacy</t>
  </si>
  <si>
    <t>Data privacy/confidentiality</t>
  </si>
  <si>
    <t>CP404</t>
  </si>
  <si>
    <t>CRA deleted the e-mail from her mailbox, informed the CTM via teams and the project lead via e-mail. CRA informed the site PI, the SC and the lab technician about the ICH-GCP violation regarding personal data privacy breach and retrained the PI and the lab technician. The training log will be collected. An issue/action was opened in Siebel, issue number 1-B7TE055.According to the PPD SOP an IT ticket was opened requesting the permanent deletion of the e-mail from the PPD server. An incident will be reported on the PPD Global Privacy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</si>
</sst>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989D-B0A0-4C50-B3B0-0289EC05C5A9}">
  <dimension ref="A1:AM35"/>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2216847</v>
      </c>
      <c r="B2" t="s">
        <v>39</v>
      </c>
      <c r="C2" t="s">
        <v>40</v>
      </c>
      <c r="D2">
        <v>2216805</v>
      </c>
      <c r="E2">
        <v>1014</v>
      </c>
      <c r="F2" t="s">
        <v>41</v>
      </c>
      <c r="G2" t="s">
        <v>42</v>
      </c>
      <c r="H2" t="s">
        <v>43</v>
      </c>
      <c r="I2" t="s">
        <v>44</v>
      </c>
      <c r="J2" s="1" t="s">
        <v>45</v>
      </c>
      <c r="K2" s="2">
        <v>44789</v>
      </c>
      <c r="L2" s="2">
        <v>44869</v>
      </c>
      <c r="M2" s="2">
        <v>44869</v>
      </c>
      <c r="N2" t="s">
        <v>46</v>
      </c>
      <c r="P2" t="s">
        <v>47</v>
      </c>
      <c r="R2" t="s">
        <v>48</v>
      </c>
      <c r="V2" s="2">
        <v>44869.857997685183</v>
      </c>
      <c r="X2" t="s">
        <v>49</v>
      </c>
      <c r="Y2" t="s">
        <v>50</v>
      </c>
      <c r="AB2" t="s">
        <v>51</v>
      </c>
      <c r="AC2" t="s">
        <v>52</v>
      </c>
      <c r="AE2" s="1" t="s">
        <v>53</v>
      </c>
      <c r="AL2" t="s">
        <v>54</v>
      </c>
      <c r="AM2" t="s">
        <v>55</v>
      </c>
    </row>
    <row r="3" spans="1:39" x14ac:dyDescent="0.35">
      <c r="A3">
        <v>2216847</v>
      </c>
      <c r="B3" t="s">
        <v>39</v>
      </c>
      <c r="C3" t="s">
        <v>56</v>
      </c>
      <c r="D3">
        <v>2216805</v>
      </c>
      <c r="G3" t="s">
        <v>42</v>
      </c>
      <c r="H3" t="s">
        <v>43</v>
      </c>
      <c r="I3" t="s">
        <v>44</v>
      </c>
      <c r="J3" s="1" t="s">
        <v>45</v>
      </c>
      <c r="K3" s="2">
        <v>44789</v>
      </c>
      <c r="L3" s="2">
        <v>44869</v>
      </c>
      <c r="M3" s="2">
        <v>44869</v>
      </c>
      <c r="N3" t="s">
        <v>46</v>
      </c>
      <c r="P3" t="s">
        <v>47</v>
      </c>
      <c r="R3" t="s">
        <v>48</v>
      </c>
      <c r="V3" s="2">
        <v>44869.857997685183</v>
      </c>
      <c r="X3" t="s">
        <v>49</v>
      </c>
      <c r="Y3" t="s">
        <v>50</v>
      </c>
      <c r="AB3" t="s">
        <v>51</v>
      </c>
      <c r="AC3" t="s">
        <v>52</v>
      </c>
      <c r="AE3" s="1" t="s">
        <v>53</v>
      </c>
      <c r="AL3" t="s">
        <v>54</v>
      </c>
      <c r="AM3" t="s">
        <v>55</v>
      </c>
    </row>
    <row r="4" spans="1:39" x14ac:dyDescent="0.35">
      <c r="A4" t="s">
        <v>57</v>
      </c>
      <c r="B4" t="s">
        <v>39</v>
      </c>
      <c r="C4" t="s">
        <v>56</v>
      </c>
      <c r="D4" t="s">
        <v>57</v>
      </c>
      <c r="F4" t="s">
        <v>58</v>
      </c>
      <c r="G4" t="s">
        <v>40</v>
      </c>
      <c r="H4" t="s">
        <v>43</v>
      </c>
      <c r="I4" t="s">
        <v>44</v>
      </c>
      <c r="J4" t="s">
        <v>59</v>
      </c>
      <c r="K4" s="2">
        <v>45209</v>
      </c>
      <c r="L4" s="2">
        <v>45229</v>
      </c>
      <c r="M4" s="2">
        <v>45229.89471064815</v>
      </c>
      <c r="N4" t="s">
        <v>60</v>
      </c>
      <c r="P4" t="s">
        <v>47</v>
      </c>
      <c r="S4" t="s">
        <v>61</v>
      </c>
      <c r="V4" s="2">
        <v>45229</v>
      </c>
      <c r="X4" t="s">
        <v>49</v>
      </c>
      <c r="Y4" t="s">
        <v>50</v>
      </c>
      <c r="AB4" t="s">
        <v>62</v>
      </c>
      <c r="AC4" t="s">
        <v>63</v>
      </c>
      <c r="AE4" t="s">
        <v>64</v>
      </c>
      <c r="AH4" t="s">
        <v>65</v>
      </c>
      <c r="AI4" t="s">
        <v>66</v>
      </c>
      <c r="AJ4" t="s">
        <v>67</v>
      </c>
      <c r="AL4" t="s">
        <v>54</v>
      </c>
      <c r="AM4" t="s">
        <v>55</v>
      </c>
    </row>
    <row r="5" spans="1:39" x14ac:dyDescent="0.35">
      <c r="A5" t="s">
        <v>68</v>
      </c>
      <c r="B5" t="s">
        <v>39</v>
      </c>
      <c r="C5" t="s">
        <v>40</v>
      </c>
      <c r="D5" t="s">
        <v>68</v>
      </c>
      <c r="E5" t="s">
        <v>69</v>
      </c>
      <c r="F5" t="s">
        <v>70</v>
      </c>
      <c r="G5" t="s">
        <v>40</v>
      </c>
      <c r="H5" t="s">
        <v>43</v>
      </c>
      <c r="I5" t="s">
        <v>44</v>
      </c>
      <c r="J5" t="s">
        <v>71</v>
      </c>
      <c r="K5" s="2">
        <v>45274</v>
      </c>
      <c r="L5" s="2">
        <v>45274</v>
      </c>
      <c r="M5" s="2">
        <v>45274.881041666667</v>
      </c>
      <c r="N5" t="s">
        <v>72</v>
      </c>
      <c r="P5" t="s">
        <v>47</v>
      </c>
      <c r="R5" t="s">
        <v>73</v>
      </c>
      <c r="S5" t="s">
        <v>61</v>
      </c>
      <c r="T5" t="s">
        <v>74</v>
      </c>
      <c r="U5" s="2">
        <v>45293</v>
      </c>
      <c r="V5" s="2">
        <v>45293</v>
      </c>
      <c r="X5" t="s">
        <v>75</v>
      </c>
      <c r="Y5" t="s">
        <v>76</v>
      </c>
      <c r="AB5" t="s">
        <v>77</v>
      </c>
      <c r="AC5" t="s">
        <v>78</v>
      </c>
      <c r="AD5" t="b">
        <v>0</v>
      </c>
      <c r="AE5" t="s">
        <v>79</v>
      </c>
      <c r="AH5" t="s">
        <v>80</v>
      </c>
      <c r="AI5" t="s">
        <v>80</v>
      </c>
      <c r="AJ5" t="s">
        <v>81</v>
      </c>
      <c r="AK5" t="s">
        <v>81</v>
      </c>
      <c r="AL5" t="s">
        <v>54</v>
      </c>
      <c r="AM5" t="s">
        <v>55</v>
      </c>
    </row>
    <row r="6" spans="1:39" x14ac:dyDescent="0.35">
      <c r="A6" t="s">
        <v>82</v>
      </c>
      <c r="B6" t="s">
        <v>39</v>
      </c>
      <c r="C6" t="s">
        <v>56</v>
      </c>
      <c r="D6" t="s">
        <v>82</v>
      </c>
      <c r="F6" t="s">
        <v>83</v>
      </c>
      <c r="G6" t="s">
        <v>40</v>
      </c>
      <c r="H6" t="s">
        <v>43</v>
      </c>
      <c r="I6" t="s">
        <v>44</v>
      </c>
      <c r="J6" t="s">
        <v>84</v>
      </c>
      <c r="K6" s="2">
        <v>45348</v>
      </c>
      <c r="L6" s="2">
        <v>45349</v>
      </c>
      <c r="M6" s="2">
        <v>45476.567094907405</v>
      </c>
      <c r="N6" t="s">
        <v>85</v>
      </c>
      <c r="P6" t="s">
        <v>47</v>
      </c>
      <c r="S6" t="s">
        <v>61</v>
      </c>
      <c r="V6" s="2">
        <v>45350</v>
      </c>
      <c r="X6" t="s">
        <v>49</v>
      </c>
      <c r="Y6" t="s">
        <v>50</v>
      </c>
      <c r="AB6" t="s">
        <v>51</v>
      </c>
      <c r="AC6" t="s">
        <v>86</v>
      </c>
      <c r="AE6" t="s">
        <v>87</v>
      </c>
      <c r="AH6" t="s">
        <v>65</v>
      </c>
      <c r="AI6" t="s">
        <v>66</v>
      </c>
      <c r="AJ6" t="s">
        <v>67</v>
      </c>
      <c r="AL6" t="s">
        <v>54</v>
      </c>
      <c r="AM6" t="s">
        <v>55</v>
      </c>
    </row>
    <row r="7" spans="1:39" x14ac:dyDescent="0.35">
      <c r="A7" t="s">
        <v>88</v>
      </c>
      <c r="B7" t="s">
        <v>39</v>
      </c>
      <c r="C7" t="s">
        <v>56</v>
      </c>
      <c r="D7" t="s">
        <v>88</v>
      </c>
      <c r="F7" t="s">
        <v>83</v>
      </c>
      <c r="G7" t="s">
        <v>40</v>
      </c>
      <c r="H7" t="s">
        <v>89</v>
      </c>
      <c r="I7" t="s">
        <v>44</v>
      </c>
      <c r="J7" t="s">
        <v>90</v>
      </c>
      <c r="K7" s="2">
        <v>45362</v>
      </c>
      <c r="L7" s="2">
        <v>45362</v>
      </c>
      <c r="M7" s="2">
        <v>45363.637048611112</v>
      </c>
      <c r="N7" t="s">
        <v>91</v>
      </c>
      <c r="P7" t="s">
        <v>92</v>
      </c>
      <c r="R7" t="s">
        <v>93</v>
      </c>
      <c r="S7" t="s">
        <v>94</v>
      </c>
      <c r="U7" s="2">
        <v>45485</v>
      </c>
      <c r="V7" s="2">
        <v>46063</v>
      </c>
      <c r="X7" t="s">
        <v>95</v>
      </c>
      <c r="Y7" t="s">
        <v>96</v>
      </c>
      <c r="AA7" s="2">
        <v>45487.986909722225</v>
      </c>
      <c r="AB7" t="s">
        <v>97</v>
      </c>
      <c r="AC7" t="s">
        <v>98</v>
      </c>
      <c r="AD7" t="b">
        <v>0</v>
      </c>
      <c r="AE7" t="s">
        <v>99</v>
      </c>
      <c r="AH7" t="s">
        <v>100</v>
      </c>
      <c r="AI7" t="s">
        <v>101</v>
      </c>
      <c r="AJ7" t="s">
        <v>102</v>
      </c>
      <c r="AK7" t="s">
        <v>103</v>
      </c>
      <c r="AL7" t="s">
        <v>54</v>
      </c>
      <c r="AM7" t="s">
        <v>55</v>
      </c>
    </row>
    <row r="8" spans="1:39" x14ac:dyDescent="0.35">
      <c r="A8" t="s">
        <v>104</v>
      </c>
      <c r="B8" t="s">
        <v>39</v>
      </c>
      <c r="C8" t="s">
        <v>40</v>
      </c>
      <c r="D8" t="s">
        <v>104</v>
      </c>
      <c r="E8" t="s">
        <v>105</v>
      </c>
      <c r="F8" t="s">
        <v>106</v>
      </c>
      <c r="G8" t="s">
        <v>40</v>
      </c>
      <c r="H8" t="s">
        <v>89</v>
      </c>
      <c r="I8" t="s">
        <v>44</v>
      </c>
      <c r="J8" t="s">
        <v>107</v>
      </c>
      <c r="K8" s="2">
        <v>45363</v>
      </c>
      <c r="L8" s="2">
        <v>45364</v>
      </c>
      <c r="M8" s="2">
        <v>45364.817604166667</v>
      </c>
      <c r="N8" t="s">
        <v>108</v>
      </c>
      <c r="P8" t="s">
        <v>92</v>
      </c>
      <c r="R8" t="s">
        <v>109</v>
      </c>
      <c r="S8" t="s">
        <v>61</v>
      </c>
      <c r="T8" t="s">
        <v>110</v>
      </c>
      <c r="U8" s="2">
        <v>45408</v>
      </c>
      <c r="V8" s="2">
        <v>45414</v>
      </c>
      <c r="X8" t="s">
        <v>75</v>
      </c>
      <c r="Y8" t="s">
        <v>76</v>
      </c>
      <c r="AA8" s="2">
        <v>45414.98065972222</v>
      </c>
      <c r="AB8" t="s">
        <v>77</v>
      </c>
      <c r="AC8" t="s">
        <v>63</v>
      </c>
      <c r="AD8" t="b">
        <v>0</v>
      </c>
      <c r="AE8" t="s">
        <v>111</v>
      </c>
      <c r="AH8" t="s">
        <v>112</v>
      </c>
      <c r="AI8" t="s">
        <v>113</v>
      </c>
      <c r="AJ8" t="s">
        <v>81</v>
      </c>
      <c r="AK8" t="s">
        <v>81</v>
      </c>
      <c r="AL8" t="s">
        <v>54</v>
      </c>
      <c r="AM8" t="s">
        <v>55</v>
      </c>
    </row>
    <row r="9" spans="1:39" x14ac:dyDescent="0.35">
      <c r="A9" t="s">
        <v>104</v>
      </c>
      <c r="B9" t="s">
        <v>39</v>
      </c>
      <c r="C9" t="s">
        <v>42</v>
      </c>
      <c r="D9" t="s">
        <v>104</v>
      </c>
      <c r="E9" t="s">
        <v>114</v>
      </c>
      <c r="F9" t="s">
        <v>115</v>
      </c>
      <c r="G9" t="s">
        <v>40</v>
      </c>
      <c r="H9" t="s">
        <v>89</v>
      </c>
      <c r="I9" t="s">
        <v>44</v>
      </c>
      <c r="J9" t="s">
        <v>107</v>
      </c>
      <c r="K9" s="2">
        <v>45363</v>
      </c>
      <c r="L9" s="2">
        <v>45364</v>
      </c>
      <c r="M9" s="2">
        <v>45364.817604166667</v>
      </c>
      <c r="N9" t="s">
        <v>108</v>
      </c>
      <c r="P9" t="s">
        <v>92</v>
      </c>
      <c r="R9" t="s">
        <v>109</v>
      </c>
      <c r="S9" t="s">
        <v>61</v>
      </c>
      <c r="T9" t="s">
        <v>110</v>
      </c>
      <c r="U9" s="2">
        <v>45408</v>
      </c>
      <c r="V9" s="2">
        <v>45414</v>
      </c>
      <c r="X9" t="s">
        <v>75</v>
      </c>
      <c r="Y9" t="s">
        <v>76</v>
      </c>
      <c r="AA9" s="2">
        <v>45414.98065972222</v>
      </c>
      <c r="AB9" t="s">
        <v>77</v>
      </c>
      <c r="AC9" t="s">
        <v>63</v>
      </c>
      <c r="AD9" t="b">
        <v>0</v>
      </c>
      <c r="AE9" t="s">
        <v>111</v>
      </c>
      <c r="AH9" t="s">
        <v>112</v>
      </c>
      <c r="AI9" t="s">
        <v>113</v>
      </c>
      <c r="AJ9" t="s">
        <v>81</v>
      </c>
      <c r="AK9" t="s">
        <v>81</v>
      </c>
      <c r="AL9" t="s">
        <v>54</v>
      </c>
      <c r="AM9" t="s">
        <v>55</v>
      </c>
    </row>
    <row r="10" spans="1:39" x14ac:dyDescent="0.35">
      <c r="A10" t="s">
        <v>104</v>
      </c>
      <c r="B10" t="s">
        <v>39</v>
      </c>
      <c r="C10" t="s">
        <v>56</v>
      </c>
      <c r="D10" t="s">
        <v>104</v>
      </c>
      <c r="F10" t="s">
        <v>116</v>
      </c>
      <c r="G10" t="s">
        <v>40</v>
      </c>
      <c r="H10" t="s">
        <v>89</v>
      </c>
      <c r="I10" t="s">
        <v>44</v>
      </c>
      <c r="J10" t="s">
        <v>107</v>
      </c>
      <c r="K10" s="2">
        <v>45363</v>
      </c>
      <c r="L10" s="2">
        <v>45364</v>
      </c>
      <c r="M10" s="2">
        <v>45364.817604166667</v>
      </c>
      <c r="N10" t="s">
        <v>108</v>
      </c>
      <c r="P10" t="s">
        <v>92</v>
      </c>
      <c r="R10" t="s">
        <v>109</v>
      </c>
      <c r="S10" t="s">
        <v>61</v>
      </c>
      <c r="T10" t="s">
        <v>110</v>
      </c>
      <c r="U10" s="2">
        <v>45408</v>
      </c>
      <c r="V10" s="2">
        <v>45414</v>
      </c>
      <c r="X10" t="s">
        <v>75</v>
      </c>
      <c r="Y10" t="s">
        <v>76</v>
      </c>
      <c r="AA10" s="2">
        <v>45414.98065972222</v>
      </c>
      <c r="AB10" t="s">
        <v>77</v>
      </c>
      <c r="AC10" t="s">
        <v>63</v>
      </c>
      <c r="AD10" t="b">
        <v>0</v>
      </c>
      <c r="AE10" t="s">
        <v>111</v>
      </c>
      <c r="AH10" t="s">
        <v>112</v>
      </c>
      <c r="AI10" t="s">
        <v>113</v>
      </c>
      <c r="AJ10" t="s">
        <v>81</v>
      </c>
      <c r="AK10" t="s">
        <v>81</v>
      </c>
      <c r="AL10" t="s">
        <v>54</v>
      </c>
      <c r="AM10" t="s">
        <v>55</v>
      </c>
    </row>
    <row r="11" spans="1:39" x14ac:dyDescent="0.35">
      <c r="A11" t="s">
        <v>117</v>
      </c>
      <c r="B11" t="s">
        <v>39</v>
      </c>
      <c r="C11" t="s">
        <v>56</v>
      </c>
      <c r="D11" t="s">
        <v>117</v>
      </c>
      <c r="F11" t="s">
        <v>118</v>
      </c>
      <c r="G11" t="s">
        <v>40</v>
      </c>
      <c r="H11" t="s">
        <v>43</v>
      </c>
      <c r="I11" t="s">
        <v>44</v>
      </c>
      <c r="J11" t="s">
        <v>119</v>
      </c>
      <c r="K11" s="2">
        <v>45420</v>
      </c>
      <c r="L11" s="2">
        <v>45420</v>
      </c>
      <c r="M11" s="2">
        <v>45421.594907407409</v>
      </c>
      <c r="N11" t="s">
        <v>120</v>
      </c>
      <c r="P11" t="s">
        <v>47</v>
      </c>
      <c r="S11" t="s">
        <v>61</v>
      </c>
      <c r="V11" s="2">
        <v>45421</v>
      </c>
      <c r="X11" t="s">
        <v>121</v>
      </c>
      <c r="Y11" t="s">
        <v>122</v>
      </c>
      <c r="AB11" t="s">
        <v>123</v>
      </c>
      <c r="AC11" t="s">
        <v>124</v>
      </c>
      <c r="AE11" t="s">
        <v>125</v>
      </c>
      <c r="AH11" t="s">
        <v>65</v>
      </c>
      <c r="AI11" t="s">
        <v>66</v>
      </c>
      <c r="AJ11" t="s">
        <v>126</v>
      </c>
      <c r="AL11" t="s">
        <v>54</v>
      </c>
      <c r="AM11" t="s">
        <v>55</v>
      </c>
    </row>
    <row r="12" spans="1:39" x14ac:dyDescent="0.35">
      <c r="A12" t="s">
        <v>127</v>
      </c>
      <c r="B12" t="s">
        <v>39</v>
      </c>
      <c r="C12" t="s">
        <v>56</v>
      </c>
      <c r="D12" t="s">
        <v>127</v>
      </c>
      <c r="F12" t="s">
        <v>83</v>
      </c>
      <c r="G12" t="s">
        <v>40</v>
      </c>
      <c r="H12" t="s">
        <v>43</v>
      </c>
      <c r="I12" t="s">
        <v>44</v>
      </c>
      <c r="J12" t="s">
        <v>128</v>
      </c>
      <c r="K12" s="2">
        <v>45440</v>
      </c>
      <c r="L12" s="2">
        <v>45440</v>
      </c>
      <c r="M12" s="2">
        <v>45441.577627314815</v>
      </c>
      <c r="N12" t="s">
        <v>129</v>
      </c>
      <c r="P12" t="s">
        <v>47</v>
      </c>
      <c r="S12" t="s">
        <v>61</v>
      </c>
      <c r="V12" s="2">
        <v>45441</v>
      </c>
      <c r="X12" t="s">
        <v>49</v>
      </c>
      <c r="Y12" t="s">
        <v>50</v>
      </c>
      <c r="AB12" t="s">
        <v>51</v>
      </c>
      <c r="AC12" t="s">
        <v>130</v>
      </c>
      <c r="AE12" t="s">
        <v>131</v>
      </c>
      <c r="AH12" t="s">
        <v>65</v>
      </c>
      <c r="AI12" t="s">
        <v>66</v>
      </c>
      <c r="AJ12" t="s">
        <v>126</v>
      </c>
      <c r="AL12" t="s">
        <v>54</v>
      </c>
      <c r="AM12" t="s">
        <v>55</v>
      </c>
    </row>
    <row r="13" spans="1:39" x14ac:dyDescent="0.35">
      <c r="A13" t="s">
        <v>132</v>
      </c>
      <c r="B13" t="s">
        <v>39</v>
      </c>
      <c r="C13" t="s">
        <v>40</v>
      </c>
      <c r="D13" t="s">
        <v>132</v>
      </c>
      <c r="E13" t="s">
        <v>133</v>
      </c>
      <c r="F13" t="s">
        <v>134</v>
      </c>
      <c r="G13" t="s">
        <v>40</v>
      </c>
      <c r="H13" t="s">
        <v>89</v>
      </c>
      <c r="I13" t="s">
        <v>44</v>
      </c>
      <c r="J13" t="s">
        <v>135</v>
      </c>
      <c r="K13" s="2">
        <v>45467</v>
      </c>
      <c r="L13" s="2">
        <v>45467</v>
      </c>
      <c r="M13" s="2">
        <v>45467.907349537039</v>
      </c>
      <c r="N13" t="s">
        <v>136</v>
      </c>
      <c r="P13" t="s">
        <v>92</v>
      </c>
      <c r="R13" t="s">
        <v>137</v>
      </c>
      <c r="S13" t="s">
        <v>61</v>
      </c>
      <c r="T13" t="s">
        <v>138</v>
      </c>
      <c r="U13" s="2">
        <v>45517</v>
      </c>
      <c r="V13" s="2">
        <v>46063</v>
      </c>
      <c r="X13" t="s">
        <v>49</v>
      </c>
      <c r="Y13" t="s">
        <v>50</v>
      </c>
      <c r="AA13" s="2">
        <v>45564.91375</v>
      </c>
      <c r="AB13" t="s">
        <v>139</v>
      </c>
      <c r="AC13" t="s">
        <v>140</v>
      </c>
      <c r="AD13" t="b">
        <v>0</v>
      </c>
      <c r="AE13" t="s">
        <v>141</v>
      </c>
      <c r="AH13" t="s">
        <v>142</v>
      </c>
      <c r="AI13" t="s">
        <v>143</v>
      </c>
      <c r="AJ13" t="s">
        <v>144</v>
      </c>
      <c r="AK13" t="s">
        <v>145</v>
      </c>
      <c r="AL13" t="s">
        <v>54</v>
      </c>
      <c r="AM13" t="s">
        <v>55</v>
      </c>
    </row>
    <row r="14" spans="1:39" x14ac:dyDescent="0.35">
      <c r="A14" t="s">
        <v>132</v>
      </c>
      <c r="B14" t="s">
        <v>39</v>
      </c>
      <c r="C14" t="s">
        <v>56</v>
      </c>
      <c r="D14" t="s">
        <v>132</v>
      </c>
      <c r="F14" t="s">
        <v>146</v>
      </c>
      <c r="G14" t="s">
        <v>40</v>
      </c>
      <c r="H14" t="s">
        <v>89</v>
      </c>
      <c r="I14" t="s">
        <v>44</v>
      </c>
      <c r="J14" t="s">
        <v>135</v>
      </c>
      <c r="K14" s="2">
        <v>45467</v>
      </c>
      <c r="L14" s="2">
        <v>45467</v>
      </c>
      <c r="M14" s="2">
        <v>45467.907349537039</v>
      </c>
      <c r="N14" t="s">
        <v>136</v>
      </c>
      <c r="P14" t="s">
        <v>92</v>
      </c>
      <c r="R14" t="s">
        <v>137</v>
      </c>
      <c r="S14" t="s">
        <v>61</v>
      </c>
      <c r="T14" t="s">
        <v>138</v>
      </c>
      <c r="U14" s="2">
        <v>45517</v>
      </c>
      <c r="V14" s="2">
        <v>46063</v>
      </c>
      <c r="X14" t="s">
        <v>49</v>
      </c>
      <c r="Y14" t="s">
        <v>50</v>
      </c>
      <c r="AA14" s="2">
        <v>45564.91375</v>
      </c>
      <c r="AB14" t="s">
        <v>139</v>
      </c>
      <c r="AC14" t="s">
        <v>140</v>
      </c>
      <c r="AD14" t="b">
        <v>0</v>
      </c>
      <c r="AE14" t="s">
        <v>141</v>
      </c>
      <c r="AH14" t="s">
        <v>142</v>
      </c>
      <c r="AI14" t="s">
        <v>143</v>
      </c>
      <c r="AJ14" t="s">
        <v>144</v>
      </c>
      <c r="AK14" t="s">
        <v>145</v>
      </c>
      <c r="AL14" t="s">
        <v>54</v>
      </c>
      <c r="AM14" t="s">
        <v>55</v>
      </c>
    </row>
    <row r="15" spans="1:39" x14ac:dyDescent="0.35">
      <c r="A15" t="s">
        <v>147</v>
      </c>
      <c r="B15" t="s">
        <v>39</v>
      </c>
      <c r="C15" t="s">
        <v>40</v>
      </c>
      <c r="D15" t="s">
        <v>147</v>
      </c>
      <c r="E15">
        <v>1044</v>
      </c>
      <c r="F15" t="s">
        <v>148</v>
      </c>
      <c r="G15" t="s">
        <v>40</v>
      </c>
      <c r="H15" t="s">
        <v>43</v>
      </c>
      <c r="I15" t="s">
        <v>44</v>
      </c>
      <c r="J15" t="s">
        <v>149</v>
      </c>
      <c r="K15" s="2">
        <v>45469</v>
      </c>
      <c r="L15" s="2">
        <v>45470</v>
      </c>
      <c r="M15" s="2">
        <v>45470.844675925924</v>
      </c>
      <c r="N15" t="s">
        <v>150</v>
      </c>
      <c r="P15" t="s">
        <v>47</v>
      </c>
      <c r="S15" t="s">
        <v>61</v>
      </c>
      <c r="V15" s="2">
        <v>45470</v>
      </c>
      <c r="X15" t="s">
        <v>49</v>
      </c>
      <c r="Y15" t="s">
        <v>151</v>
      </c>
      <c r="AB15" t="s">
        <v>51</v>
      </c>
      <c r="AC15" t="s">
        <v>152</v>
      </c>
      <c r="AE15" t="s">
        <v>153</v>
      </c>
      <c r="AH15" t="s">
        <v>65</v>
      </c>
      <c r="AI15" t="s">
        <v>101</v>
      </c>
      <c r="AJ15" t="s">
        <v>102</v>
      </c>
      <c r="AL15" t="s">
        <v>54</v>
      </c>
      <c r="AM15" t="s">
        <v>55</v>
      </c>
    </row>
    <row r="16" spans="1:39" x14ac:dyDescent="0.35">
      <c r="A16" t="s">
        <v>154</v>
      </c>
      <c r="B16" t="s">
        <v>39</v>
      </c>
      <c r="C16" t="s">
        <v>40</v>
      </c>
      <c r="D16" t="s">
        <v>154</v>
      </c>
      <c r="E16">
        <v>1066</v>
      </c>
      <c r="F16" t="s">
        <v>155</v>
      </c>
      <c r="G16" t="s">
        <v>40</v>
      </c>
      <c r="H16" t="s">
        <v>43</v>
      </c>
      <c r="I16" t="s">
        <v>44</v>
      </c>
      <c r="J16" t="s">
        <v>156</v>
      </c>
      <c r="K16" s="2">
        <v>45476</v>
      </c>
      <c r="L16" s="2">
        <v>45476</v>
      </c>
      <c r="M16" s="2">
        <v>45476.631701388891</v>
      </c>
      <c r="N16" t="s">
        <v>157</v>
      </c>
      <c r="P16" t="s">
        <v>47</v>
      </c>
      <c r="S16" t="s">
        <v>61</v>
      </c>
      <c r="V16" s="2">
        <v>45476</v>
      </c>
      <c r="X16" t="s">
        <v>49</v>
      </c>
      <c r="Y16" t="s">
        <v>50</v>
      </c>
      <c r="AB16" t="s">
        <v>51</v>
      </c>
      <c r="AC16" t="s">
        <v>158</v>
      </c>
      <c r="AE16" t="s">
        <v>159</v>
      </c>
      <c r="AH16" t="s">
        <v>65</v>
      </c>
      <c r="AI16" t="s">
        <v>66</v>
      </c>
      <c r="AJ16" t="s">
        <v>160</v>
      </c>
      <c r="AL16" t="s">
        <v>54</v>
      </c>
      <c r="AM16" t="s">
        <v>55</v>
      </c>
    </row>
    <row r="17" spans="1:39" x14ac:dyDescent="0.35">
      <c r="A17" t="s">
        <v>154</v>
      </c>
      <c r="B17" t="s">
        <v>39</v>
      </c>
      <c r="C17" t="s">
        <v>56</v>
      </c>
      <c r="D17" t="s">
        <v>154</v>
      </c>
      <c r="F17" t="s">
        <v>83</v>
      </c>
      <c r="G17" t="s">
        <v>40</v>
      </c>
      <c r="H17" t="s">
        <v>43</v>
      </c>
      <c r="I17" t="s">
        <v>44</v>
      </c>
      <c r="J17" t="s">
        <v>156</v>
      </c>
      <c r="K17" s="2">
        <v>45476</v>
      </c>
      <c r="L17" s="2">
        <v>45476</v>
      </c>
      <c r="M17" s="2">
        <v>45476.631701388891</v>
      </c>
      <c r="N17" t="s">
        <v>157</v>
      </c>
      <c r="P17" t="s">
        <v>47</v>
      </c>
      <c r="S17" t="s">
        <v>61</v>
      </c>
      <c r="V17" s="2">
        <v>45476</v>
      </c>
      <c r="X17" t="s">
        <v>49</v>
      </c>
      <c r="Y17" t="s">
        <v>50</v>
      </c>
      <c r="AB17" t="s">
        <v>51</v>
      </c>
      <c r="AC17" t="s">
        <v>158</v>
      </c>
      <c r="AE17" t="s">
        <v>159</v>
      </c>
      <c r="AH17" t="s">
        <v>65</v>
      </c>
      <c r="AI17" t="s">
        <v>66</v>
      </c>
      <c r="AJ17" t="s">
        <v>160</v>
      </c>
      <c r="AL17" t="s">
        <v>54</v>
      </c>
      <c r="AM17" t="s">
        <v>55</v>
      </c>
    </row>
    <row r="18" spans="1:39" x14ac:dyDescent="0.35">
      <c r="A18" t="s">
        <v>161</v>
      </c>
      <c r="B18" t="s">
        <v>39</v>
      </c>
      <c r="C18" t="s">
        <v>56</v>
      </c>
      <c r="D18" t="s">
        <v>161</v>
      </c>
      <c r="F18" t="s">
        <v>83</v>
      </c>
      <c r="G18" t="s">
        <v>40</v>
      </c>
      <c r="H18" t="s">
        <v>43</v>
      </c>
      <c r="I18" t="s">
        <v>44</v>
      </c>
      <c r="J18" t="s">
        <v>162</v>
      </c>
      <c r="K18" s="2">
        <v>45482</v>
      </c>
      <c r="L18" s="2">
        <v>45482</v>
      </c>
      <c r="M18" s="2">
        <v>45482.856342592589</v>
      </c>
      <c r="N18" t="s">
        <v>163</v>
      </c>
      <c r="P18" t="s">
        <v>47</v>
      </c>
      <c r="S18" t="s">
        <v>61</v>
      </c>
      <c r="V18" s="2">
        <v>45482</v>
      </c>
      <c r="X18" t="s">
        <v>49</v>
      </c>
      <c r="Y18" t="s">
        <v>50</v>
      </c>
      <c r="AB18" t="s">
        <v>164</v>
      </c>
      <c r="AC18" t="s">
        <v>165</v>
      </c>
      <c r="AE18" t="s">
        <v>166</v>
      </c>
      <c r="AH18" t="s">
        <v>65</v>
      </c>
      <c r="AI18" t="s">
        <v>66</v>
      </c>
      <c r="AJ18" t="s">
        <v>126</v>
      </c>
      <c r="AL18" t="s">
        <v>54</v>
      </c>
      <c r="AM18" t="s">
        <v>55</v>
      </c>
    </row>
    <row r="19" spans="1:39" x14ac:dyDescent="0.35">
      <c r="A19" t="s">
        <v>167</v>
      </c>
      <c r="B19" t="s">
        <v>39</v>
      </c>
      <c r="C19" t="s">
        <v>56</v>
      </c>
      <c r="D19" t="s">
        <v>167</v>
      </c>
      <c r="F19" t="s">
        <v>168</v>
      </c>
      <c r="G19" t="s">
        <v>40</v>
      </c>
      <c r="H19" t="s">
        <v>43</v>
      </c>
      <c r="I19" t="s">
        <v>44</v>
      </c>
      <c r="J19" t="s">
        <v>169</v>
      </c>
      <c r="K19" s="2">
        <v>45516</v>
      </c>
      <c r="L19" s="2">
        <v>45524</v>
      </c>
      <c r="M19" s="2">
        <v>45524.750335648147</v>
      </c>
      <c r="N19" t="s">
        <v>170</v>
      </c>
      <c r="P19" t="s">
        <v>47</v>
      </c>
      <c r="S19" t="s">
        <v>61</v>
      </c>
      <c r="V19" s="2">
        <v>45524</v>
      </c>
      <c r="X19" t="s">
        <v>171</v>
      </c>
      <c r="Y19" t="s">
        <v>172</v>
      </c>
      <c r="AB19" t="s">
        <v>173</v>
      </c>
      <c r="AC19" t="s">
        <v>174</v>
      </c>
      <c r="AE19" t="s">
        <v>175</v>
      </c>
      <c r="AH19" t="s">
        <v>65</v>
      </c>
      <c r="AI19" t="s">
        <v>66</v>
      </c>
      <c r="AJ19" t="s">
        <v>176</v>
      </c>
      <c r="AL19" t="s">
        <v>54</v>
      </c>
      <c r="AM19" t="s">
        <v>55</v>
      </c>
    </row>
    <row r="20" spans="1:39" x14ac:dyDescent="0.35">
      <c r="A20" t="s">
        <v>177</v>
      </c>
      <c r="B20" t="s">
        <v>39</v>
      </c>
      <c r="C20" t="s">
        <v>56</v>
      </c>
      <c r="D20" t="s">
        <v>177</v>
      </c>
      <c r="F20" t="s">
        <v>83</v>
      </c>
      <c r="G20" t="s">
        <v>40</v>
      </c>
      <c r="H20" t="s">
        <v>43</v>
      </c>
      <c r="I20" t="s">
        <v>44</v>
      </c>
      <c r="J20" t="s">
        <v>178</v>
      </c>
      <c r="K20" s="2">
        <v>45547</v>
      </c>
      <c r="L20" s="2">
        <v>45548</v>
      </c>
      <c r="M20" s="2">
        <v>45548.8122337963</v>
      </c>
      <c r="N20" t="s">
        <v>179</v>
      </c>
      <c r="P20" t="s">
        <v>47</v>
      </c>
      <c r="S20" t="s">
        <v>61</v>
      </c>
      <c r="V20" s="2">
        <v>45548</v>
      </c>
      <c r="X20" t="s">
        <v>180</v>
      </c>
      <c r="Y20" t="s">
        <v>181</v>
      </c>
      <c r="AB20" t="s">
        <v>182</v>
      </c>
      <c r="AC20" t="s">
        <v>183</v>
      </c>
      <c r="AE20" t="e">
        <f>- the cSOM double check that the second SCP did well perform his IP handling training, and double check that the PI and SIte pharmacist did well perform their trainigng of IP handling via Firecrest platform. There is no over findings.- the Study Team was informed about the issue and the Line Manager of the SCP was copied to the email.- the cSOM will follow-up with the SCP upon her return from annual leave in order she performs IP handling traininf asap.- This QE was submitted.</f>
        <v>#NAME?</v>
      </c>
      <c r="AH20" t="s">
        <v>65</v>
      </c>
      <c r="AI20" t="s">
        <v>66</v>
      </c>
      <c r="AJ20" t="s">
        <v>126</v>
      </c>
      <c r="AL20" t="s">
        <v>54</v>
      </c>
      <c r="AM20" t="s">
        <v>55</v>
      </c>
    </row>
    <row r="21" spans="1:39" x14ac:dyDescent="0.35">
      <c r="A21" t="s">
        <v>184</v>
      </c>
      <c r="B21" t="s">
        <v>39</v>
      </c>
      <c r="C21" t="s">
        <v>56</v>
      </c>
      <c r="D21" t="s">
        <v>184</v>
      </c>
      <c r="F21" t="s">
        <v>185</v>
      </c>
      <c r="G21" t="s">
        <v>40</v>
      </c>
      <c r="H21" t="s">
        <v>43</v>
      </c>
      <c r="I21" t="s">
        <v>44</v>
      </c>
      <c r="J21" t="s">
        <v>186</v>
      </c>
      <c r="K21" s="2">
        <v>45621</v>
      </c>
      <c r="L21" s="2">
        <v>45622</v>
      </c>
      <c r="M21" s="2">
        <v>45623.882627314815</v>
      </c>
      <c r="N21" t="s">
        <v>187</v>
      </c>
      <c r="P21" t="s">
        <v>47</v>
      </c>
      <c r="R21" t="s">
        <v>188</v>
      </c>
      <c r="S21" t="s">
        <v>61</v>
      </c>
      <c r="T21" t="s">
        <v>74</v>
      </c>
      <c r="U21" s="2">
        <v>45645</v>
      </c>
      <c r="V21" s="2">
        <v>45645</v>
      </c>
      <c r="X21" t="s">
        <v>75</v>
      </c>
      <c r="Y21" t="s">
        <v>76</v>
      </c>
      <c r="AB21" t="s">
        <v>77</v>
      </c>
      <c r="AC21" t="s">
        <v>189</v>
      </c>
      <c r="AD21" t="b">
        <v>0</v>
      </c>
      <c r="AE21" t="s">
        <v>190</v>
      </c>
      <c r="AL21" t="s">
        <v>54</v>
      </c>
      <c r="AM21" t="s">
        <v>55</v>
      </c>
    </row>
    <row r="22" spans="1:39" x14ac:dyDescent="0.35">
      <c r="A22" t="s">
        <v>191</v>
      </c>
      <c r="B22" t="s">
        <v>39</v>
      </c>
      <c r="C22" t="s">
        <v>40</v>
      </c>
      <c r="D22" t="s">
        <v>191</v>
      </c>
      <c r="E22" t="s">
        <v>192</v>
      </c>
      <c r="F22" t="s">
        <v>193</v>
      </c>
      <c r="G22" t="s">
        <v>40</v>
      </c>
      <c r="H22" t="s">
        <v>89</v>
      </c>
      <c r="I22" t="s">
        <v>194</v>
      </c>
      <c r="J22" t="s">
        <v>195</v>
      </c>
      <c r="K22" s="2">
        <v>45672</v>
      </c>
      <c r="L22" s="2">
        <v>45688</v>
      </c>
      <c r="M22" s="2">
        <v>45688.748472222222</v>
      </c>
      <c r="N22" t="s">
        <v>196</v>
      </c>
      <c r="P22" t="s">
        <v>92</v>
      </c>
      <c r="R22" t="s">
        <v>197</v>
      </c>
      <c r="S22" t="s">
        <v>94</v>
      </c>
      <c r="U22" s="2">
        <v>45791</v>
      </c>
      <c r="X22" t="s">
        <v>198</v>
      </c>
      <c r="Y22" t="s">
        <v>199</v>
      </c>
      <c r="AA22" s="2">
        <v>45792.546261574076</v>
      </c>
      <c r="AB22" t="s">
        <v>200</v>
      </c>
      <c r="AC22" t="s">
        <v>201</v>
      </c>
      <c r="AD22" t="b">
        <v>0</v>
      </c>
      <c r="AE22" t="s">
        <v>202</v>
      </c>
      <c r="AH22" t="s">
        <v>203</v>
      </c>
      <c r="AI22" t="s">
        <v>101</v>
      </c>
      <c r="AJ22" t="s">
        <v>102</v>
      </c>
      <c r="AK22" t="s">
        <v>204</v>
      </c>
      <c r="AL22" t="s">
        <v>54</v>
      </c>
      <c r="AM22" t="s">
        <v>55</v>
      </c>
    </row>
    <row r="23" spans="1:39" x14ac:dyDescent="0.35">
      <c r="A23" t="s">
        <v>205</v>
      </c>
      <c r="B23" t="s">
        <v>39</v>
      </c>
      <c r="C23" t="s">
        <v>42</v>
      </c>
      <c r="D23" t="s">
        <v>205</v>
      </c>
      <c r="E23">
        <v>1019</v>
      </c>
      <c r="F23" t="s">
        <v>206</v>
      </c>
      <c r="G23" t="s">
        <v>40</v>
      </c>
      <c r="H23" t="s">
        <v>43</v>
      </c>
      <c r="I23" t="s">
        <v>44</v>
      </c>
      <c r="J23" t="s">
        <v>207</v>
      </c>
      <c r="K23" s="2">
        <v>45722</v>
      </c>
      <c r="L23" s="2">
        <v>45726</v>
      </c>
      <c r="M23" s="2">
        <v>45726.751643518517</v>
      </c>
      <c r="N23" t="s">
        <v>208</v>
      </c>
      <c r="P23" t="s">
        <v>47</v>
      </c>
      <c r="S23" t="s">
        <v>61</v>
      </c>
      <c r="V23" s="2">
        <v>45726</v>
      </c>
      <c r="X23" t="s">
        <v>209</v>
      </c>
      <c r="Y23" t="s">
        <v>210</v>
      </c>
      <c r="AB23" t="s">
        <v>211</v>
      </c>
      <c r="AC23" t="s">
        <v>212</v>
      </c>
      <c r="AE23" t="s">
        <v>213</v>
      </c>
      <c r="AH23" t="s">
        <v>65</v>
      </c>
      <c r="AI23" t="s">
        <v>214</v>
      </c>
      <c r="AJ23" t="s">
        <v>215</v>
      </c>
      <c r="AL23" t="s">
        <v>54</v>
      </c>
      <c r="AM23" t="s">
        <v>55</v>
      </c>
    </row>
    <row r="24" spans="1:39" x14ac:dyDescent="0.35">
      <c r="A24" t="s">
        <v>216</v>
      </c>
      <c r="B24" t="s">
        <v>39</v>
      </c>
      <c r="C24" t="s">
        <v>40</v>
      </c>
      <c r="D24" t="s">
        <v>216</v>
      </c>
      <c r="E24">
        <v>1010</v>
      </c>
      <c r="F24" t="s">
        <v>217</v>
      </c>
      <c r="G24" t="s">
        <v>40</v>
      </c>
      <c r="H24" t="s">
        <v>89</v>
      </c>
      <c r="I24" t="s">
        <v>218</v>
      </c>
      <c r="J24" t="s">
        <v>219</v>
      </c>
      <c r="K24" s="2">
        <v>45727</v>
      </c>
      <c r="L24" s="2">
        <v>45730</v>
      </c>
      <c r="M24" s="2">
        <v>45733.746574074074</v>
      </c>
      <c r="N24" t="s">
        <v>220</v>
      </c>
      <c r="P24" t="s">
        <v>92</v>
      </c>
      <c r="R24" t="s">
        <v>221</v>
      </c>
      <c r="S24" t="s">
        <v>94</v>
      </c>
      <c r="U24" s="2">
        <v>45845</v>
      </c>
      <c r="X24" t="s">
        <v>222</v>
      </c>
      <c r="Y24" t="s">
        <v>223</v>
      </c>
      <c r="AA24" s="2">
        <v>45846.595219907409</v>
      </c>
      <c r="AB24" t="s">
        <v>211</v>
      </c>
      <c r="AC24" t="s">
        <v>224</v>
      </c>
      <c r="AD24" t="b">
        <v>0</v>
      </c>
      <c r="AE24" t="s">
        <v>225</v>
      </c>
      <c r="AH24" t="s">
        <v>226</v>
      </c>
      <c r="AI24" t="s">
        <v>101</v>
      </c>
      <c r="AJ24" t="s">
        <v>227</v>
      </c>
      <c r="AK24" t="s">
        <v>204</v>
      </c>
      <c r="AL24" t="s">
        <v>54</v>
      </c>
      <c r="AM24" t="s">
        <v>55</v>
      </c>
    </row>
    <row r="25" spans="1:39" x14ac:dyDescent="0.35">
      <c r="A25" t="s">
        <v>228</v>
      </c>
      <c r="B25" t="s">
        <v>39</v>
      </c>
      <c r="C25" t="s">
        <v>56</v>
      </c>
      <c r="D25" t="s">
        <v>228</v>
      </c>
      <c r="F25" t="s">
        <v>83</v>
      </c>
      <c r="G25" t="s">
        <v>40</v>
      </c>
      <c r="H25" t="s">
        <v>43</v>
      </c>
      <c r="I25" t="s">
        <v>44</v>
      </c>
      <c r="J25" t="s">
        <v>229</v>
      </c>
      <c r="K25" s="2">
        <v>45673</v>
      </c>
      <c r="L25" s="2">
        <v>45743</v>
      </c>
      <c r="M25" s="2">
        <v>45744.680937500001</v>
      </c>
      <c r="N25" t="s">
        <v>230</v>
      </c>
      <c r="P25" t="s">
        <v>47</v>
      </c>
      <c r="S25" t="s">
        <v>61</v>
      </c>
      <c r="V25" s="2">
        <v>45744</v>
      </c>
      <c r="X25" t="s">
        <v>49</v>
      </c>
      <c r="Y25" t="s">
        <v>50</v>
      </c>
      <c r="AB25" t="s">
        <v>51</v>
      </c>
      <c r="AC25" t="s">
        <v>231</v>
      </c>
      <c r="AE25" t="s">
        <v>232</v>
      </c>
      <c r="AH25" t="s">
        <v>65</v>
      </c>
      <c r="AI25" t="s">
        <v>66</v>
      </c>
      <c r="AJ25" t="s">
        <v>126</v>
      </c>
      <c r="AL25" t="s">
        <v>54</v>
      </c>
      <c r="AM25" t="s">
        <v>55</v>
      </c>
    </row>
    <row r="26" spans="1:39" x14ac:dyDescent="0.35">
      <c r="A26" t="s">
        <v>233</v>
      </c>
      <c r="B26" t="s">
        <v>39</v>
      </c>
      <c r="C26" t="s">
        <v>56</v>
      </c>
      <c r="D26" t="s">
        <v>233</v>
      </c>
      <c r="F26" t="s">
        <v>83</v>
      </c>
      <c r="G26" t="s">
        <v>40</v>
      </c>
      <c r="H26" t="s">
        <v>43</v>
      </c>
      <c r="I26" t="s">
        <v>44</v>
      </c>
      <c r="J26" t="s">
        <v>234</v>
      </c>
      <c r="K26" s="2">
        <v>45804</v>
      </c>
      <c r="L26" s="2">
        <v>45833</v>
      </c>
      <c r="M26" s="2">
        <v>45840.861504629633</v>
      </c>
      <c r="N26" t="s">
        <v>235</v>
      </c>
      <c r="P26" t="s">
        <v>47</v>
      </c>
      <c r="S26" t="s">
        <v>61</v>
      </c>
      <c r="V26" s="2">
        <v>45840</v>
      </c>
      <c r="X26" t="s">
        <v>209</v>
      </c>
      <c r="Y26" t="s">
        <v>210</v>
      </c>
      <c r="AB26" t="s">
        <v>236</v>
      </c>
      <c r="AC26" t="s">
        <v>237</v>
      </c>
      <c r="AE26" t="s">
        <v>238</v>
      </c>
      <c r="AH26" t="s">
        <v>65</v>
      </c>
      <c r="AI26" t="s">
        <v>66</v>
      </c>
      <c r="AJ26" t="s">
        <v>176</v>
      </c>
      <c r="AL26" t="s">
        <v>54</v>
      </c>
      <c r="AM26" t="s">
        <v>55</v>
      </c>
    </row>
    <row r="27" spans="1:39" x14ac:dyDescent="0.35">
      <c r="A27" t="s">
        <v>239</v>
      </c>
      <c r="B27" t="s">
        <v>39</v>
      </c>
      <c r="C27" t="s">
        <v>56</v>
      </c>
      <c r="D27" t="s">
        <v>239</v>
      </c>
      <c r="F27" t="s">
        <v>168</v>
      </c>
      <c r="G27" t="s">
        <v>40</v>
      </c>
      <c r="H27" t="s">
        <v>43</v>
      </c>
      <c r="I27" t="s">
        <v>44</v>
      </c>
      <c r="J27" t="s">
        <v>240</v>
      </c>
      <c r="K27" s="2">
        <v>45859</v>
      </c>
      <c r="L27" s="2">
        <v>45861</v>
      </c>
      <c r="M27" s="2">
        <v>45861.746782407405</v>
      </c>
      <c r="N27" t="s">
        <v>241</v>
      </c>
      <c r="P27" t="s">
        <v>47</v>
      </c>
      <c r="S27" t="s">
        <v>61</v>
      </c>
      <c r="V27" s="2">
        <v>45861</v>
      </c>
      <c r="X27" t="s">
        <v>242</v>
      </c>
      <c r="Y27" t="s">
        <v>243</v>
      </c>
      <c r="AB27" t="s">
        <v>211</v>
      </c>
      <c r="AC27" t="s">
        <v>244</v>
      </c>
      <c r="AE27" t="s">
        <v>245</v>
      </c>
      <c r="AH27" t="s">
        <v>65</v>
      </c>
      <c r="AI27" t="s">
        <v>66</v>
      </c>
      <c r="AJ27" t="s">
        <v>126</v>
      </c>
      <c r="AL27" t="s">
        <v>54</v>
      </c>
      <c r="AM27" t="s">
        <v>55</v>
      </c>
    </row>
    <row r="28" spans="1:39" x14ac:dyDescent="0.35">
      <c r="A28" t="s">
        <v>246</v>
      </c>
      <c r="B28" t="s">
        <v>39</v>
      </c>
      <c r="C28" t="s">
        <v>56</v>
      </c>
      <c r="D28" t="s">
        <v>246</v>
      </c>
      <c r="F28" t="s">
        <v>83</v>
      </c>
      <c r="G28" t="s">
        <v>40</v>
      </c>
      <c r="H28" t="s">
        <v>247</v>
      </c>
      <c r="I28" t="s">
        <v>218</v>
      </c>
      <c r="J28" t="s">
        <v>248</v>
      </c>
      <c r="K28" s="2">
        <v>45884</v>
      </c>
      <c r="L28" s="2">
        <v>45887</v>
      </c>
      <c r="M28" s="2">
        <v>45887.872916666667</v>
      </c>
      <c r="N28" t="s">
        <v>249</v>
      </c>
      <c r="P28" t="s">
        <v>92</v>
      </c>
      <c r="R28" t="s">
        <v>250</v>
      </c>
      <c r="S28" t="s">
        <v>61</v>
      </c>
      <c r="T28" t="s">
        <v>138</v>
      </c>
      <c r="U28" s="2">
        <v>46087</v>
      </c>
      <c r="V28" s="2">
        <v>45887</v>
      </c>
      <c r="X28" t="s">
        <v>251</v>
      </c>
      <c r="Y28" t="s">
        <v>252</v>
      </c>
      <c r="AA28" s="2">
        <v>46087.76185185185</v>
      </c>
      <c r="AB28" t="s">
        <v>200</v>
      </c>
      <c r="AC28" t="s">
        <v>253</v>
      </c>
      <c r="AD28" t="b">
        <v>0</v>
      </c>
      <c r="AE28" t="s">
        <v>254</v>
      </c>
      <c r="AH28" t="s">
        <v>255</v>
      </c>
      <c r="AI28" t="s">
        <v>256</v>
      </c>
      <c r="AJ28" t="s">
        <v>257</v>
      </c>
      <c r="AK28" t="s">
        <v>258</v>
      </c>
      <c r="AL28" t="s">
        <v>54</v>
      </c>
      <c r="AM28" t="s">
        <v>55</v>
      </c>
    </row>
    <row r="29" spans="1:39" x14ac:dyDescent="0.35">
      <c r="A29" t="s">
        <v>259</v>
      </c>
      <c r="B29" t="s">
        <v>39</v>
      </c>
      <c r="C29" t="s">
        <v>40</v>
      </c>
      <c r="D29" t="s">
        <v>259</v>
      </c>
      <c r="E29" t="s">
        <v>260</v>
      </c>
      <c r="F29" t="s">
        <v>261</v>
      </c>
      <c r="G29" t="s">
        <v>40</v>
      </c>
      <c r="H29" t="s">
        <v>89</v>
      </c>
      <c r="I29" t="s">
        <v>218</v>
      </c>
      <c r="J29" t="s">
        <v>262</v>
      </c>
      <c r="K29" s="2">
        <v>45884</v>
      </c>
      <c r="L29" s="2">
        <v>45888</v>
      </c>
      <c r="M29" s="2">
        <v>46055.631527777776</v>
      </c>
      <c r="N29" t="s">
        <v>263</v>
      </c>
      <c r="P29" t="s">
        <v>92</v>
      </c>
      <c r="R29" t="s">
        <v>264</v>
      </c>
      <c r="S29" t="s">
        <v>94</v>
      </c>
      <c r="U29" s="2">
        <v>46066</v>
      </c>
      <c r="X29" t="s">
        <v>49</v>
      </c>
      <c r="Y29" t="s">
        <v>50</v>
      </c>
      <c r="AA29" s="2">
        <v>46070.630057870374</v>
      </c>
      <c r="AB29" t="s">
        <v>51</v>
      </c>
      <c r="AC29" t="s">
        <v>265</v>
      </c>
      <c r="AD29" t="b">
        <v>0</v>
      </c>
      <c r="AE29" t="s">
        <v>266</v>
      </c>
      <c r="AH29" t="s">
        <v>267</v>
      </c>
      <c r="AI29" t="s">
        <v>101</v>
      </c>
      <c r="AJ29" t="s">
        <v>102</v>
      </c>
      <c r="AK29" t="s">
        <v>268</v>
      </c>
      <c r="AL29" t="s">
        <v>54</v>
      </c>
      <c r="AM29" t="s">
        <v>55</v>
      </c>
    </row>
    <row r="30" spans="1:39" x14ac:dyDescent="0.35">
      <c r="A30" t="s">
        <v>259</v>
      </c>
      <c r="B30" t="s">
        <v>39</v>
      </c>
      <c r="C30" t="s">
        <v>56</v>
      </c>
      <c r="D30" t="s">
        <v>259</v>
      </c>
      <c r="F30" t="s">
        <v>83</v>
      </c>
      <c r="G30" t="s">
        <v>40</v>
      </c>
      <c r="H30" t="s">
        <v>89</v>
      </c>
      <c r="I30" t="s">
        <v>218</v>
      </c>
      <c r="J30" t="s">
        <v>262</v>
      </c>
      <c r="K30" s="2">
        <v>45884</v>
      </c>
      <c r="L30" s="2">
        <v>45888</v>
      </c>
      <c r="M30" s="2">
        <v>46055.631527777776</v>
      </c>
      <c r="N30" t="s">
        <v>263</v>
      </c>
      <c r="P30" t="s">
        <v>92</v>
      </c>
      <c r="R30" t="s">
        <v>264</v>
      </c>
      <c r="S30" t="s">
        <v>94</v>
      </c>
      <c r="U30" s="2">
        <v>46066</v>
      </c>
      <c r="X30" t="s">
        <v>49</v>
      </c>
      <c r="Y30" t="s">
        <v>50</v>
      </c>
      <c r="AA30" s="2">
        <v>46070.630057870374</v>
      </c>
      <c r="AB30" t="s">
        <v>51</v>
      </c>
      <c r="AC30" t="s">
        <v>265</v>
      </c>
      <c r="AD30" t="b">
        <v>0</v>
      </c>
      <c r="AE30" t="s">
        <v>266</v>
      </c>
      <c r="AH30" t="s">
        <v>267</v>
      </c>
      <c r="AI30" t="s">
        <v>101</v>
      </c>
      <c r="AJ30" t="s">
        <v>102</v>
      </c>
      <c r="AK30" t="s">
        <v>268</v>
      </c>
      <c r="AL30" t="s">
        <v>54</v>
      </c>
      <c r="AM30" t="s">
        <v>55</v>
      </c>
    </row>
    <row r="31" spans="1:39" x14ac:dyDescent="0.35">
      <c r="A31" t="s">
        <v>269</v>
      </c>
      <c r="B31" t="s">
        <v>39</v>
      </c>
      <c r="C31" t="s">
        <v>40</v>
      </c>
      <c r="D31" t="s">
        <v>269</v>
      </c>
      <c r="E31">
        <v>1039</v>
      </c>
      <c r="F31" t="s">
        <v>270</v>
      </c>
      <c r="G31" t="s">
        <v>40</v>
      </c>
      <c r="H31" t="s">
        <v>43</v>
      </c>
      <c r="I31" t="s">
        <v>44</v>
      </c>
      <c r="J31" t="s">
        <v>271</v>
      </c>
      <c r="K31" s="2">
        <v>45875</v>
      </c>
      <c r="L31" s="2">
        <v>45918</v>
      </c>
      <c r="M31" s="2">
        <v>45918.896180555559</v>
      </c>
      <c r="N31" t="s">
        <v>272</v>
      </c>
      <c r="P31" t="s">
        <v>47</v>
      </c>
      <c r="S31" t="s">
        <v>61</v>
      </c>
      <c r="V31" s="2">
        <v>45918</v>
      </c>
      <c r="X31" t="s">
        <v>180</v>
      </c>
      <c r="Y31" t="s">
        <v>273</v>
      </c>
      <c r="AB31" t="s">
        <v>51</v>
      </c>
      <c r="AC31" t="s">
        <v>274</v>
      </c>
      <c r="AE31" t="s">
        <v>275</v>
      </c>
      <c r="AH31" t="s">
        <v>65</v>
      </c>
      <c r="AI31" t="s">
        <v>66</v>
      </c>
      <c r="AJ31" t="s">
        <v>160</v>
      </c>
      <c r="AL31" t="s">
        <v>54</v>
      </c>
      <c r="AM31" t="s">
        <v>55</v>
      </c>
    </row>
    <row r="32" spans="1:39" x14ac:dyDescent="0.35">
      <c r="A32" t="s">
        <v>269</v>
      </c>
      <c r="B32" t="s">
        <v>39</v>
      </c>
      <c r="C32" t="s">
        <v>42</v>
      </c>
      <c r="D32" t="s">
        <v>269</v>
      </c>
      <c r="E32">
        <v>1014</v>
      </c>
      <c r="F32" t="s">
        <v>276</v>
      </c>
      <c r="G32" t="s">
        <v>40</v>
      </c>
      <c r="H32" t="s">
        <v>43</v>
      </c>
      <c r="I32" t="s">
        <v>44</v>
      </c>
      <c r="J32" t="s">
        <v>271</v>
      </c>
      <c r="K32" s="2">
        <v>45875</v>
      </c>
      <c r="L32" s="2">
        <v>45918</v>
      </c>
      <c r="M32" s="2">
        <v>45918.896180555559</v>
      </c>
      <c r="N32" t="s">
        <v>272</v>
      </c>
      <c r="P32" t="s">
        <v>47</v>
      </c>
      <c r="S32" t="s">
        <v>61</v>
      </c>
      <c r="V32" s="2">
        <v>45918</v>
      </c>
      <c r="X32" t="s">
        <v>180</v>
      </c>
      <c r="Y32" t="s">
        <v>273</v>
      </c>
      <c r="AB32" t="s">
        <v>51</v>
      </c>
      <c r="AC32" t="s">
        <v>274</v>
      </c>
      <c r="AE32" t="s">
        <v>275</v>
      </c>
      <c r="AH32" t="s">
        <v>65</v>
      </c>
      <c r="AI32" t="s">
        <v>66</v>
      </c>
      <c r="AJ32" t="s">
        <v>160</v>
      </c>
      <c r="AL32" t="s">
        <v>54</v>
      </c>
      <c r="AM32" t="s">
        <v>55</v>
      </c>
    </row>
    <row r="33" spans="1:39" x14ac:dyDescent="0.35">
      <c r="A33" t="s">
        <v>269</v>
      </c>
      <c r="B33" t="s">
        <v>39</v>
      </c>
      <c r="C33" t="s">
        <v>56</v>
      </c>
      <c r="D33" t="s">
        <v>269</v>
      </c>
      <c r="E33">
        <v>10010</v>
      </c>
      <c r="F33" t="s">
        <v>277</v>
      </c>
      <c r="G33" t="s">
        <v>40</v>
      </c>
      <c r="H33" t="s">
        <v>43</v>
      </c>
      <c r="I33" t="s">
        <v>44</v>
      </c>
      <c r="J33" t="s">
        <v>271</v>
      </c>
      <c r="K33" s="2">
        <v>45875</v>
      </c>
      <c r="L33" s="2">
        <v>45918</v>
      </c>
      <c r="M33" s="2">
        <v>45918.896180555559</v>
      </c>
      <c r="N33" t="s">
        <v>272</v>
      </c>
      <c r="P33" t="s">
        <v>47</v>
      </c>
      <c r="S33" t="s">
        <v>61</v>
      </c>
      <c r="V33" s="2">
        <v>45918</v>
      </c>
      <c r="X33" t="s">
        <v>180</v>
      </c>
      <c r="Y33" t="s">
        <v>273</v>
      </c>
      <c r="AB33" t="s">
        <v>51</v>
      </c>
      <c r="AC33" t="s">
        <v>274</v>
      </c>
      <c r="AE33" t="s">
        <v>275</v>
      </c>
      <c r="AH33" t="s">
        <v>65</v>
      </c>
      <c r="AI33" t="s">
        <v>66</v>
      </c>
      <c r="AJ33" t="s">
        <v>160</v>
      </c>
      <c r="AL33" t="s">
        <v>54</v>
      </c>
      <c r="AM33" t="s">
        <v>55</v>
      </c>
    </row>
    <row r="34" spans="1:39" x14ac:dyDescent="0.35">
      <c r="A34" t="s">
        <v>278</v>
      </c>
      <c r="B34" t="s">
        <v>39</v>
      </c>
      <c r="C34" t="s">
        <v>56</v>
      </c>
      <c r="D34" t="s">
        <v>278</v>
      </c>
      <c r="F34" t="s">
        <v>279</v>
      </c>
      <c r="G34" t="s">
        <v>40</v>
      </c>
      <c r="H34" t="s">
        <v>43</v>
      </c>
      <c r="I34" t="s">
        <v>44</v>
      </c>
      <c r="J34" t="s">
        <v>280</v>
      </c>
      <c r="K34" s="2">
        <v>45994</v>
      </c>
      <c r="L34" s="2">
        <v>46010</v>
      </c>
      <c r="M34" s="2">
        <v>46010.848912037036</v>
      </c>
      <c r="N34" t="s">
        <v>281</v>
      </c>
      <c r="P34" t="s">
        <v>47</v>
      </c>
      <c r="S34" t="s">
        <v>61</v>
      </c>
      <c r="V34" s="2">
        <v>46010</v>
      </c>
      <c r="X34" t="s">
        <v>209</v>
      </c>
      <c r="Y34" t="s">
        <v>282</v>
      </c>
      <c r="AB34" t="s">
        <v>283</v>
      </c>
      <c r="AC34" t="s">
        <v>284</v>
      </c>
      <c r="AE34" t="s">
        <v>285</v>
      </c>
      <c r="AH34" t="s">
        <v>65</v>
      </c>
      <c r="AI34" t="s">
        <v>286</v>
      </c>
      <c r="AJ34" t="s">
        <v>287</v>
      </c>
      <c r="AL34" t="s">
        <v>54</v>
      </c>
      <c r="AM34" t="s">
        <v>55</v>
      </c>
    </row>
    <row r="35" spans="1:39" x14ac:dyDescent="0.35">
      <c r="A35" t="s">
        <v>288</v>
      </c>
      <c r="B35" t="s">
        <v>39</v>
      </c>
      <c r="C35" t="s">
        <v>40</v>
      </c>
      <c r="D35" t="s">
        <v>288</v>
      </c>
      <c r="E35">
        <v>1033</v>
      </c>
      <c r="F35" t="s">
        <v>289</v>
      </c>
      <c r="G35" t="s">
        <v>40</v>
      </c>
      <c r="H35" t="s">
        <v>43</v>
      </c>
      <c r="I35" t="s">
        <v>44</v>
      </c>
      <c r="J35" t="s">
        <v>290</v>
      </c>
      <c r="K35" s="2">
        <v>46063</v>
      </c>
      <c r="L35" s="2">
        <v>46064</v>
      </c>
      <c r="M35" s="2">
        <v>46064.824212962965</v>
      </c>
      <c r="N35" t="s">
        <v>291</v>
      </c>
      <c r="P35" t="s">
        <v>47</v>
      </c>
      <c r="S35" t="s">
        <v>61</v>
      </c>
      <c r="V35" s="2">
        <v>46064</v>
      </c>
      <c r="X35" t="s">
        <v>292</v>
      </c>
      <c r="Y35" t="s">
        <v>293</v>
      </c>
      <c r="AB35" t="s">
        <v>294</v>
      </c>
      <c r="AC35" t="s">
        <v>244</v>
      </c>
      <c r="AE35" t="s">
        <v>295</v>
      </c>
      <c r="AH35" t="s">
        <v>65</v>
      </c>
      <c r="AI35" t="s">
        <v>66</v>
      </c>
      <c r="AJ35" t="s">
        <v>176</v>
      </c>
      <c r="AL35" t="s">
        <v>54</v>
      </c>
      <c r="AM35"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214253-517C-4257-B849-861D267BA1F2}"/>
</file>

<file path=customXml/itemProps2.xml><?xml version="1.0" encoding="utf-8"?>
<ds:datastoreItem xmlns:ds="http://schemas.openxmlformats.org/officeDocument/2006/customXml" ds:itemID="{E38AE7DA-A3D2-46ED-AFF8-B3D07BB1C955}"/>
</file>

<file path=customXml/itemProps3.xml><?xml version="1.0" encoding="utf-8"?>
<ds:datastoreItem xmlns:ds="http://schemas.openxmlformats.org/officeDocument/2006/customXml" ds:itemID="{F2D0D441-A100-40A9-AA8D-1906193D33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2026-03-23T16:42:18Z</dcterms:created>
  <dcterms:modified xsi:type="dcterms:W3CDTF">2026-03-23T16:42:42Z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2026-03-23T16:42:18Z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dedef4c3-3e53-455e-b6ee-ebc1bccfaf58</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