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5/"/>
    </mc:Choice>
  </mc:AlternateContent>
  <xr:revisionPtr revIDLastSave="0" documentId="8_{49A85811-5AC6-401E-BD68-9147632343BC}" xr6:coauthVersionLast="47" xr6:coauthVersionMax="47" xr10:uidLastSave="{00000000-0000-0000-0000-000000000000}"/>
  <bookViews>
    <workbookView xWindow="45" yWindow="-21720" windowWidth="51840" windowHeight="21120" xr2:uid="{0EDB2C09-8CAB-4288-A4DF-B6B7150C71E1}"/>
  </bookViews>
  <sheets>
    <sheet name="Standard_Quality_Dashboard - QE" sheetId="1" r:id="rId1"/>
  </sheets>
  <calcPr calcId="0"/>
</workbook>
</file>

<file path=xl/calcChain.xml><?xml version="1.0" encoding="utf-8"?>
<calcChain xmlns="http://schemas.openxmlformats.org/spreadsheetml/2006/main">
  <c r="AE65" i="1" l="1"/>
  <c r="AE126" i="1"/>
  <c r="AE134" i="1"/>
  <c r="AE138" i="1"/>
  <c r="AE147" i="1"/>
</calcChain>
</file>

<file path=xl/sharedStrings.xml><?xml version="1.0" encoding="utf-8"?>
<sst xmlns="http://schemas.openxmlformats.org/spreadsheetml/2006/main" count="5284" uniqueCount="1344">
  <si>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</si>
  <si>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</si>
  <si>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</si>
  <si>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</si>
  <si>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</si>
  <si>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</si>
  <si>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</si>
  <si>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</si>
  <si>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</si>
  <si>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</si>
  <si>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</si>
  <si>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</si>
  <si>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</si>
  <si>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</si>
  <si>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</si>
  <si>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</si>
  <si>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</si>
  <si>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</si>
  <si>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</si>
  <si>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</si>
  <si>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</si>
  <si>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</si>
  <si>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</si>
  <si>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</si>
  <si>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</si>
  <si>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</si>
  <si>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</si>
  <si>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</si>
  <si>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</si>
  <si>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</si>
  <si>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</si>
  <si>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</si>
  <si>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</si>
  <si>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</si>
  <si>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</si>
  <si>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</si>
  <si>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</si>
  <si>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</si>
  <si>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</si>
  <si>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C4221015</t>
  </si>
  <si>
    <t>(Empty)</t>
  </si>
  <si>
    <t>N</t>
  </si>
  <si>
    <t>Minor</t>
  </si>
  <si>
    <t>Closed</t>
  </si>
  <si>
    <t>Product Protocol Number: 
C4221015
Involved Party / Country:
Pfizer / United States
Awareness Date:
15-Jul-2020
Quality Event Description:
For following vendors:  Signant Health, PPD Central Lab and Firecrest, contracts were signed off but no vendor oversight plans initiated.
What Should Have Happened:
Per QMS09 GMSOP v 4.0 section 4.5.1 vendor oversight plans should have been initiated at the time of contract finalization.
Why Did This Event Happen: 
The vendor oversight plans were not initiated because final approved protocol is not available and vendor oversight process changed on 15 July 2020 following PR 2171802 (QMS09-GSOP Exception Global on Vendor Oversight Plan [15-Jul-2020 - 01-Apr-2021 PR ID 2171802]).
Immediate Actions Taken:
The new process does not require completion of vendor oversight plan. The new vendor oversight process described in exception number PR 2171802 will be followed.
CMCD Information:  
Start Date:  13-Jul-2020
End Date:  22-Jul-2020
Reason for Start/End Date:  13 July 20 was awareness date of the QMS09 VOP requirement change.
CMCD Requirement Not Met:  QMS09 GSOP v 4.0 4.5.1  Vendor Oversight Plan
Instead of CMCD Requirement:  The new vendor oversight process described in exception PR 2171802.
Historical Review: 
Protocol Search:  There were no previous Quality Events found for this protocol upon review of the quality database.
Assessment Comments:
This quality event represents CMCD non-conformance.  The CMCD that is referenced by the event Reporter is QMS09-GSOP 4.0 Vendor Engagement 01-Apr-2020.
For this CMCD QE, the past component occurred during the dates of 13-Jul-2020 to date of submission of this event, 20-Jul-2020.  This quality event presents the study team’s noncompliance with QMS09, regarding the development and execution of Vendor Oversight Plans (VOP) for three vendors.  The study team has since been granted a CMCD exception and thus, VOP development is no longer required and will not be completed.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If new information is identified which indicates potential or material (significant) adverse impact to any of the criteria noted above due to this event, please resubmit providing detail on the impact.
As this CMCD QE also contained information relevant to a CMCD Exception, you will receive separate communication from the SOP group regarding the CMCD Exception component (the future component).</t>
  </si>
  <si>
    <t>GCP_T1_Jul-2020_C4221015: CMCD: Vendor Oversight Plan_Pfizer_USA</t>
  </si>
  <si>
    <t>NO</t>
  </si>
  <si>
    <t>---</t>
  </si>
  <si>
    <t>Quality Procedures</t>
  </si>
  <si>
    <t>Failure to use adequate controls (e.g., Required Forms, templates)</t>
  </si>
  <si>
    <t>QMS09-Vendor Engagement</t>
  </si>
  <si>
    <t>Sonya Littlejohn</t>
  </si>
  <si>
    <t>The new process does not require completion of vendor oversight plan. The new vendor oversight process described in exception number PR 2171802 will be followed.</t>
  </si>
  <si>
    <t>MODEL 0 - LEGACY</t>
  </si>
  <si>
    <t>Oncology</t>
  </si>
  <si>
    <t>Y</t>
  </si>
  <si>
    <t>Deming, Dustin A.</t>
  </si>
  <si>
    <t>Product Protocol Number: 
C4221015
Involved Party / Country:
PI: Deming, Dustin A. (Site Number 1007) / United States
Awareness Date:
03-Sep-2020
Quality Event Description:
There was a PTA visit at Dr. Deming site at University of Wisconsin Hospital and it was noted that the site would not complete the Electronic Medical Records Assessment (EMRA) form because per their institutional statement: EHR systems such as Health Link are intended for clinical health record management as part of ordinary medical practice. The FDA does not regulate the practice of medicine and, as such, does not dictate how EHRs must be maintained. Although the FDA expects that information about subjects collected and maintained in EHRs will be used in clinical studies, FDA has stated in its guidance for industry that it does not intend to assess the compliance of EHRs with 21 CFR Part 11. FDA has identified best practices for the use of EHR data in clinical investigations, specifically stating that it has confidence in the reliability, privacy and security of EHRs that are certified through the Office of the National Coordinator (ONC) for Health Information Technology. Epic Systems Corporation (UW Health’s EHR vendor) pursues Health IT Product certification through ONC.
What Should Have Happened:
Site should have used the EMRA form and completed it.
Why Did This Event Happen: 
The site confirmed that they would not complete the Electronic Medical Records Assessment per their institutional statement noted above.
Immediate Actions Taken:
Getting an exception.
CMCD Information:  
Start Date:  05-Sep-2020
End Date:  05-Sep-2020 
Reason for Start/End Date:  Not provided
CMCD Requirement Not Met:  Site will not complete the EMRA form.
Instead of CMCD Requirement:  Site will follow their intuitional requirements.
Historical Review: 
PI Search:  There were no previous Quality Events found for this PI upon review of the quality database.
Assessment Comments:
This quality event represents CMCD non-conformance.  The CMCD referenced by the event Reporter are INV02-GSOP 4.0 Investigational Site Selection, Preparation, and Initiation 01-Apr-2020 and INV02-GSOP-RF6 4.0 Electronic Source Readiness Assessment Instructions for Use.
The quality event submission reports noncompliance with INV02-GSOP, regarding the completion of the electronic Source Readiness Assessment (eSRA) document (previously called Electronic Medical Record Assessment [EMRA]).  By not completing the eSRA tool, it cannot be confirmed that the site’s electronic medical records comply with global and local regulations and regulatory agency guidelines for clinical research data sources.  It is recognized, as the site refuses to complete the assessment because of their site policy, further action by Pfizer may not be possible.  There is no indication in the submission that there has been potential signficiant adverse impact to study data integrity due to the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and/or CSTL; and if they consider this event to have potential or material (significant) adverse impact to any of the criteria noted above due to this event, please resubmit providing detail on the impact.</t>
  </si>
  <si>
    <t>GCP_T1_Oct-2020_C4221015: CMCD: INV02 Documentation: ESRA_Deming, Dustin A._USA</t>
  </si>
  <si>
    <t>INV02-Investigational Site Selection, Preparation, and Initiation</t>
  </si>
  <si>
    <t>Hilary Lippoth</t>
  </si>
  <si>
    <t>Getting an exception.</t>
  </si>
  <si>
    <t>Tie, Jeanne</t>
  </si>
  <si>
    <t>Product Protocol Number: 
C4221015 
Involved Party / Country:
Vendor: PPD / Australia
Awareness Date:
15-Dec-2020
Quality Event Description:
A virtual site initiation visit (SIV) occurred on 15-Dec-2020 without meeting the requirements in INV02-INV04-GSOP-COVID19-SD-GL02 COVID-19 GUIDANCE FOR MONITORING AND OVERSIGHT ACTIVITIES.
What Should Have Happened:
A CMCD exception should have been submitted prior to the virtual SIV.
Why Did This Event Happen: 
Delay in review of approval for the virtual SIV.
Immediate Actions Taken:
CMCD exception is being submitted retrospectively. 
CMCD Information:  
Start Date: 16-Dec-2020
End Date:  17-Dec-2020
Reason for Start/End Date: start date - requesting non-conformance to CMCD which occurred yesterday
end date - requesting a CMCD exception as part of the submission
CMCD Requirement Not Met: 
If the PTA was conducted virtually, a virtual SIV is acceptable but only under the following circumstances: The site has been visited by a Pfizer representative within the last two years. For studies where no IM is planned, if a site received a phone PTA, an on-site SIV is required.  Exceptions may be agreed by the SM Group Lead and Clinical Operations Head.
Instead of CMCD Requirement: CMCD exception will be submitted retrospectively.
Historical Review: 
PI Search: There were no previous Quality Events identified for this PI upon review of quality database.
Assessment Comments: 
This quality event represents CMCD non-conformance.  The CMCD that is referenced by the event reporter is: INV02-GSOP 4.0 Investigational Site Selection, Preparation, and Initiation 01-Apr-2020.
For this CMCD QE, the past component occurred during the dates of 16-Dec-2020 to date of QE submission (16-Dec-2020). The submission indicates that for this site, a virtual site initiation visit (SIV) occurred on 15-Dec-2020 without meeting the CMCD requirements, and a CMCD Exception was not in place to do so.  It is noted that the CMCD Exception was submitted retrospectively. There is no indication in the submission of any significant adverse impact to study participants or study data, due to this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If new information is identified which indicates potential or material (significant) adverse impact to participant safety, rights, confidentiality, and well-being, to study data integrity or to any of the criteria noted above due to this event, please resubmit providing detail on the impact.
As this CMCD QE also contained information relevant to a CMCD Exception (because a current/future date (17-Dec-2020) was used as the “CMCD End Date” in the eForm), you will receive separate communication from the SOP group regarding the CMCD Exception component (the future component).</t>
  </si>
  <si>
    <t>GCP_T1_Dec-2020_C4221015: CMCD: Site Initiation Visit (SIV)_PPD_AUS</t>
  </si>
  <si>
    <t>Requirement/process not met</t>
  </si>
  <si>
    <t>CMCD exception is being submitted retrospectively.</t>
  </si>
  <si>
    <t>Product Protocol Number: 
C4221015
Involved Party / Country:
PI: Tie, Jeanne  (Site Number: 1104) / Australia
Vendor: PPD / Australia
Awareness Date:
23-Dec-2020
Quality Event Description:
On 14-Dec-2020, (15-Dec-2020, Australian time) the Lead Study Manager (SM) received an email from PPD CTM, with the following comment from Australian site 1104, Dr. Tie regarding storage of IP (5-fluorouracil and oxaliplatin):
Our sites temperature monitoring will only generate an alarm if the temperature falls below 15 degrees Celsius as per our SOP. The Pharmacy Manual states these two IP need to be kept between 20-25 degrees Celsius. The Australian Product Information for both agents only state to store below 25 degrees Celsius. As our temperature monitoring system is built within the system and our site is very familiar with these agents without prior issues, please acknowledge that our site will only be aware of an excursion if the temperature falls below 15 degrees Celsius.
The storage requirements according to the labeling for 5-fluorouracil and oxaliplatin is 20-25 degrees Celsius.
The site had an SIV on 15-De-2020 and was activated on 18-Dec-2020.
What Should Have Happened:
The site should not have been activated until the discrepancy regarding storage requirements was resolved.
Why Did This Event Happen: 
Not sure but this is an experienced site that has administered both 5-fluorouracil and oxaliplatin.  The storage requirements for the study drug differs from the Australian Product Information that the site adheres to.
Immediate Actions Taken:
Several discussions have taken place with clinical supplies to confirm the temperature storage requirements for Australia as well as obtain advice on how to proceed. 
Several discussions have taken place with the site to see if they could modify their temperature monitoring practices to accommodate the storage requirement for 5-fluorouracil and oxaliplatin.  
The CRA is planning to schedule a meeting with the site the week of 28-Dec-2020 to gather more info from the site regarding their temperature logs and to discuss the site using TempTale devices specifically with our drug to monitor any excursions below 20 degrees Celsius.
CMCD Information:  
Start Date: 23-Dec-2020
End Date:  23-Dec-2020
Reason for Start/End Date: NA
CMCD Requirement Not Met:
Site Activation Checklist:
Investigational product:
Min/max temperature monitoring available
Storage condition
Instead of CMCD Requirement: Still being discussed with the site.
Historical Review: 
PI Search: There were no previous Quality Events identified for this PI upon review of quality database.
Assessment Comments: 
This quality event represents CMCD non-conformance.  The CMCDs that are referenced by the event reporter are:
INV02-GSOP 4.0 Investigational Site Selection, Preparation, and Initiation 01-Apr-2020
INV02-GSOP-RF17
The submission indicates that the site had an issue with IP storage and temperature excursion reporting process, and was activated before the discrepancy regarding IP storage requirements was resolved.  It is noted that several discussions have taken place with clinical supplies to confirm the temperature storage requirements for Australia as well as obtain advice on how to proceed, as well as with the site to see if they could modify their temperature monitoring practices to accommodate the storage requirement for 5-fluorouracil and oxaliplatin.  The CRA is planning to schedule a meeting with the site the week of 28-Dec-2020 to gather more info from the site regarding their temperature logs and to discuss the site using TempTale devices specifically with our drug to monitor any excursions below 20 degrees Celsius.  There is no indication in the submission of any significant adverse impact to study participants or study data, due to this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If new information is identified which indicates potential or material (significant) adverse impact to participant safety, rights, confidentiality, and well-being or to study data integrity or to any of the criteria noted above due to this event, please resubmit providing detail on the impact.</t>
  </si>
  <si>
    <t>GCP_T1_Dec-2020_C4221015: CMCD:  IP Management_Tie, Jeanne; PPD_AUS</t>
  </si>
  <si>
    <t>Medicinal Product, Quality Procedures</t>
  </si>
  <si>
    <t>Inadequate handling, storage, availability, Requirement/process not met</t>
  </si>
  <si>
    <t>INV02-Investigational Site Selection, Preparation, and Initiation, IP13-Investigational Medicinal Product</t>
  </si>
  <si>
    <t>Several discussions have taken place with clinical supplies to confirm the temperature storage requirements for Australia as well as obtain advice on how to proceed. 
Several discussions have taken place with the site to see if they could modify their temperature monitoring practices to accommodate the storage requirement for 5-fluorouracil and oxaliplatin.  
The CRA is planning to schedule a meeting with the site the week of 28 Dec. to gather more info from the site regarding their temperature logs and to discuss the site using TempTale devices specifically with our drug to monitor any excursions below 20 degrees Celsius.</t>
  </si>
  <si>
    <t>Grothey, Axel Franz Kurt</t>
  </si>
  <si>
    <t>Product Protocol Number: 
C4221015
Involved Party / Country:
PI: Grothey, Axel Franz Kurt (Site Number 1004) / United States
Awareness Date:
20-Jan-2021
Quality Event Description:
Dr. Grothey's site 1004 submitted medication records for participant 10041001 through the PPD ePIP system (Electronic Patient Inquiry Platform) and on one of the medical records the participant’s name was not redacted.
What Should Have Happened:
The site should have redacted all participant identifying information before sending to PPD/Pfizer.
Why Did This Event Happen: 
The site did not redact the participant identifying information.
Immediate Actions Taken:
The site will be retraining on proper submission of documents to PPD/PFE.
Historical Review: 
PI Search:  There were no previous Quality Events found for this PI upon review of the quality database.
Assessment Comments:
This is a first occurrence, isolated event for the site related to duties of confidentiality.  The eForm Quality Event submission indicates the site submitted a document(s) with a participant’s name to the PPD ePIP system, contrary to Pfizer policy (Corporate Policy 404- Protecting the Privacy of Personal Data) and the duty to protect participant confidentiality.  The submission does not indicate what action has been taken to remediate the event, but it is noted that the site will be retrained on maintaining privacy of participant's personal data/information.  It is recommended, if it has not already been done, that the study team confirms the documents have been removed from the ePIP system and redacted before being re-submitted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Based on eForm entries, there was no system set auto-threshold for this event.</t>
  </si>
  <si>
    <t>GCP_T1_Jan-2021_C4221015: Participant Confidentiality_Grothey, Axel Franz Kurt_USA</t>
  </si>
  <si>
    <t>Data Privacy</t>
  </si>
  <si>
    <t>Data privacy/confidentiality</t>
  </si>
  <si>
    <t>No Process Assigned</t>
  </si>
  <si>
    <t>The site will be retraining on proper submission of documents to PPD/PFE.</t>
  </si>
  <si>
    <t>Product Protocol Number: 
C4221015
Involved Party / Country:
PI: Tie, Jeanne (Site Number: 1104) / Australia
Awareness Date:
25-Jan-2021
Quality Event Description:
Site 1104 pharmacy found on 22-Jan-2021 that participant 11041001 was administered commercial stock of calcium folinate instead of trial stock supplied from the sponsor. CRA was informed.
What Should Have Happened:
Site should have used the sponsor stock of calcium folinate.
Why Did This Event Happen: 
Site's error during dispensing.
Immediate Actions Taken:
To be confirmed.
CMCD Information:  
Start Date: 21-Jan-2021
End Date:  21-Jan-2021
Reason for Start/End Date: NA
CMCD Requirement Not Met: Site used commercial stock of calcium folinate.
Instead of CMCD Requirement: Site should have used the sponsor stock of calcium folinate.
Historical Review: 
PI Search: There is 1 previous Quality Event identified for this PI upon review of quality database.
PR 2182317_GCP_T1_Dec-2020_C4221015: CMCD: IP Management_Tie, Jeanne; PPD_AUS (discrepancy regarding storage requirements)
Assessment Comments: 
This quality event represents CMCD non-conformance.  The CMCD that is referenced by the event reporter is: IP13-GSOP 4.0 Investigational Medicinal Product 01-May-2020.
The submission indicates that 1 participant was administered commercial stock of calcium folinate instead of trial stock supplied from the sponsor.  This is a first occurrence, isolated event for the site involving a single participant.  There is no indication in the submission of any significant adverse impact to study participants or study data, due to this event.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</si>
  <si>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GCP_T1_Jan-2021_C4221015: CMCD: Medication Error_Tie, Jeanne_AUS</t>
  </si>
  <si>
    <t>Medicinal Product</t>
  </si>
  <si>
    <t>Inadequate preparation, dosing, dispensing error</t>
  </si>
  <si>
    <t>IP13-Investigational Medicinal Product</t>
  </si>
  <si>
    <t>Karen Ng</t>
  </si>
  <si>
    <t>To be confirmed.</t>
  </si>
  <si>
    <t>Product Protocol Number: Multiple Protocols
B0661037, B5381012, B7451050, B7841005, B7981037, B8011006, C0251002, C1071003, C3391003, C3441037, C3731003, C4181005, and C4221015.
Involved Party / Country:
Vendor: JMAC Partners / Global
Awareness Date:
29-Jan-2021
Quality Event Description:
Supplier utilized TransPerfect for translation services prior to submitting a subcontractor approval form and receiving Pfizer approval.
The list of protocols TransPerfect was utilized on for JMAC services is as follows: B0661037, B5381012, B7451050, B7841005, B7981037, B8011006, C0251002, C1071003, C3391003, C3441037, C3731003, C4181005, and C4221015.
What Should Have Happened:
Subcontractor form should have been submitted and approved prior to usage.
Why Did This Event Happen: 
Mistake on the supplier end as they did not realize a Subcontractor Approval Form was needed.
Immediate Actions Taken:
Subcontractor Approval Form has been requested and will be submitted as soon as possible for approval.
Historical Review: 
Vendor Search: There were no previous similar Quality Events identified for JMAC Partners upon review of quality database.
CMCD Information:  
Start Date: 31-Aug-2020
End Date:  29-Jan-2021
Reason for Start/End Date: NA
CMCD Requirement Not Met: Submission &amp; approval of the Subcontractor Approval Form from QMS09-GSOP 4.0 Vendor Engagement 01-Apr-2020 prior to initiating work with vendor.
Instead of CMCD Requirement: Vendor will submit CMCD requirement and receive appropriate approvals.
Assessment Comments: 
This quality event represents CMCD non-conformance.  The CMCD that is referenced by the event reporter is: QMS09-GSOP 4.0 Vendor Engagement 01-Apr-2020.
The submission indicates that the supplier utilized TransPerfect for translation services prior to submitting a subcontractor approval form and receiving Pfizer approval. It is noted that the Subcontractor Approval Form has been requested and will be submitted as soon as possible for approval.  There are 13 protocols related to this event. There is no indication in the submission of significant adverse impact to study participants or study data, due to this event, and it is noted that the Subcontractor Approval Form has been requested and will be submitted as soon as possible for approval for the impacted protocols.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</si>
  <si>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GCP_T1_Jan-2021_Multiple Protocols: CMCD: Subcontractor Approval Form_JMAC Partners_Global</t>
  </si>
  <si>
    <t>Dena Waldier</t>
  </si>
  <si>
    <t>Subcontractor Approval Form has been requested and will be submitted as soon as possible for approval.</t>
  </si>
  <si>
    <t>Yaeger, Rona D.</t>
  </si>
  <si>
    <t>Product Protocol Number: 
C4221015
Involved Party / Country:
Vendor: PPD Laboratories / United States
Awareness Date:
10-Mar-2021
Quality Event Description:
Dr. Yaeger at MSKCC received PPD Lab kits at her home address.
What Should Have Happened:
Dr. Yaeger at MSKCC should have received PPD lab kits to the MSKCC site address.
Why Did This Event Happen: 
An old CSTA entered Dr. Yaeger's personal home address into the PPD Lab tracker. The PI is also a steering committee member and we have her personal details due to that reason.
Immediate Actions Taken:
We have confirm that no other system has this personal address in Siebel, CAL, CSDS, etc. The home address has been removed from the PPD lab tracker. PPD lab has been notified and remove the personal address and replaced with the site address. PPD lab has provided the airway bill to transfer the kits from her home to the site location. Also, a full review of the PPD Lab tracker will be done.
Historical Review: 
Protocol Search: There were no previous similar Quality Events identified for this Protocol upon review of quality database.
Assessment Comments: 
This appears to be a first occurrence, isolated event for this protocol. The submission indicates that Dr. Yaeger at MSKCC should have received PPD lab kits to the MSKCC site address, but they were received at her home address.  It is noted that no other system has this personal address in Siebel, CAL, CSDS, etc. The home address has been removed from the PPD lab tracker. PPD lab has been notified and removed the personal address and replaced with the site address. PPD lab has provided the airway bill to transfer the kits from her home to the site location. Also, a full review of the PPD Lab tracker will be done.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</si>
  <si>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GCP_T1_Mar-2021_C4221015: Lab Kit Shipment_PPD Laboratories_USA</t>
  </si>
  <si>
    <t>Equipment, Facility and Sample/Specimens</t>
  </si>
  <si>
    <t>Inadequate equipment/lab supply mgmt.</t>
  </si>
  <si>
    <t>We have confirm that no other system has this personal address in Siebel, CAL, CSDS, etc. The home address has been removed from the PPD lab tracker. PPD lab has been notified and remove the personal address and replaced with the site address. PPD lab has provided the airway bill to transfer the kits from her home to the site location. Also, a full review of the PPD Lab tracker will be done.</t>
  </si>
  <si>
    <t>Krishnamurthy, Anuradha</t>
  </si>
  <si>
    <t>Product Protocol Number: 
C4221015
Involved Party / Country:
PI: Krishnamurthy, Anuradha (Site Number: 1406) / United States
Awareness Date:
12-Mar-2021
Quality Event Description:
Per UPMC Hillman Cancer Center, Clinical Research Services Policy HCC-CRS-CLIN-034, Sponsor Specific Forms, certain sponsor/contract research organization (CRO) specific forms will not be completed, including the eSource Readiness Assessment (eSRA).  
The site supplied supporting documentation including UPMC Hillman Cancer Center, Clinical Research Services Policy HCC-CRS-CLIN-035, EMR access for study monitors and sponsors and UPMC Part 11 Compliance.
What Should Have Happened:
eSource Readiness Assessment (eSRA) should be completed.
Why Did This Event Happen: 
Site policy.
Immediate Actions Taken:
Not applicable.
Historical Review: 
PI Search: There were no previous Quality Events identified for this PI upon review of quality database.
Assessment Comments: 
This appears to be a first occurrence, isolated event for this site.  The submission indicates that per site’s policy, certain sponsor/contract research organization (CRO) specific forms will not be completed, including the eSource Readiness Assessment (eSRA).  There is no indication in the submission of significant adverse impact to study participants or study data, due to this event. The event appears to be appropriate for the monitor/study team to continue to manage. It is recommended if necessary, that the team may wish to consult with the relevant site / monitoring BPOs regarding this issue via the GoFindIt portal.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</si>
  <si>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GCP_T1_Mar-2021_C4221015: Site Policy and eSource Readiness Assessment (eSRA)_Krishnamurthy, Anuradha_USA</t>
  </si>
  <si>
    <t>Julie Mackenzie</t>
  </si>
  <si>
    <t>Not applicable</t>
  </si>
  <si>
    <t>Kim, Tae Won</t>
  </si>
  <si>
    <t>Product Protocol Number: 
C4221015
Involved Party / Country:
PI: Kim, Tae Won (Site Number: 1296) / Korea (Republic of)
Awareness Date:
16-Mar-2021
Quality Event Description:
C4221015 study participant 12961002 has been hospitalized on 13-Mar-2021. PI was aware of participant’s hospitalization on 13-Mar-2021, however initial SAE report was submitted on 15-Mar-2021, more than 24 hours from awareness.
What Should Have Happened:
The SAE report should be submitted within 24 hours of awareness.
Why Did This Event Happen: 
Since the participant’s hospitalization has occurred on 13-Mar-2021 (out of working day), PI was aware of participant’s status. However since PI was not at site, SAE report form was not available.
Immediate Actions Taken:
PI has been re-trained to report SAE within 24 hours of awareness on 15-Mar-2021. SAE and PD has been reported to site Ethics on 15-Mar-2021. CRA will perform on-site training on next IMV.
Historical Review: 
PI Search: There were no previous Quality Events identified for this PI upon review of quality database.
Assessment Comments: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</si>
  <si>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GCP_T1_Mar-2021_C4221015: SAE Reporting_Kim, Tae Won_KOR</t>
  </si>
  <si>
    <t>AE reporting to Sponsor</t>
  </si>
  <si>
    <t>Delayed SAE reporting</t>
  </si>
  <si>
    <t>AEM01-Adverse Event Monitoring</t>
  </si>
  <si>
    <t>PI has been re-trained to report SAE within 24 hours of awareness on 15Mar2021. SAE and PD has been reported to site Ethics on 15Mar2021. CRA will perform on-site training on next IMV.</t>
  </si>
  <si>
    <t>Aubin, Francine</t>
  </si>
  <si>
    <t>Product Protocol Number: 
C4221015
Involved Party / Country:
PI: Aubin, Francine (Site Number: 1122) / Canada
Awareness Date:
25-Mar-2021
Quality Event Description:
Site 1122 on Protocol C4221015 did not complete the CIS and eSRA.  In their place, they provided the 20210309_C4221015_Site_Contact_Info_List_incomplete and OACIS-emr-2020-04-07.
What Should Have Happened:
Per INV02-GSOP 4.0, the CIS and eSRA should have been completed by the site.
Why Did This Event Happen: 
Per site policies, they do not complete sponsor forms that request information found within site created forms.
Immediate Actions Taken:
The CRA collected the site supplied forms and forwarded to the study management team.  The forms were reviewed and will be filed in the PTMF in place of the CIS and eSRA.
CMCD Information:  
Start Date: 04-Mar-2021
End Date:  25-Mar-2021
Reason for Start/End Date: NA
CMCD Requirement Not Met: INV02-GSOP-RF04 Pre-Trial Assessment Required Activities Checklist.
Instead of CMCD Requirement: In place of the CIS and eSRA, the site provided the 20210309_C4221015_Site_Contact_Info_List_incomplete and OACIS-emr-2020-04-07
Historical Review: 
PI Search: There were no previous Quality Events identified for this PI upon review of quality database.
Assessment Comments: 
This quality event represents CMCD non-conformance.  The CMCD that is referenced by the event reporter is: INV02-GSOP 4.0 Investigational Site Selection, Preparation, and Initiation 01-Apr-2020
The submission indicates that Site 1122 on Protocol C4221015 did not complete the CIS and eSRA.  In their place, they provided the 20210309_C4221015_Site_Contact_Info_List_incomplete and OACIS-emr-2020-04-07, because per site policies, they do not complete sponsor forms that request information found within site created forms. It is noted that the forms were reviewed and will be filed in the PTMF in place of the CIS and eSRA.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</si>
  <si>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GCP_T1_Mar-2021_C4221015: CMCD: CIS and eSRA Forms_Aubin, Francine_CAN</t>
  </si>
  <si>
    <t>Joseph Tiedeken</t>
  </si>
  <si>
    <t>The CRA collected the site supplied forms and forwarded to the study management team.  The forms were reviewed and will be filed in the PTMF in place of the CIS and eSRA.</t>
  </si>
  <si>
    <t>Price, Timothy Jay</t>
  </si>
  <si>
    <t>Product Protocol Number: 
C4221015
Involved Party / Country:
PI: Price, Timothy Jay (Site Number: 1240) / Australia
Awareness Date:
30-Mar-2021
Quality Event Description:
C4221015 study site 1240 has mentioned a study participant (12401003)'s given name in a protocol inquiry sent to project team on 30-Mar-2021. It was discovered when CTM reviewed the content of the inquiry.
What Should Have Happened:
Participant’s name should not be mentioned, instead participant number should be used to protect participant confidentiality.
Why Did This Event Happen: 
The study coordinator at site has done this due to carelessness.
Immediate Actions Taken:
The study coordinator is re-trained and IT has been informed to cancel the inquiry so that no further person can see the participant’s information.
Historical Review: 
PI Search: There were no previous Quality Events identified for this PI upon review of quality database.
Assessment Comments: 
This is a first occurrence, isolated event for the site related to duties of confidentiality.  The eForm Quality Event submission indicates that the study coordinator mentioned a study participant’s given name in a protocol inquiry sent to project team on 30-Mar-2021, contrary to Pfizer policy (Corporate Policy 404- Protecting the Privacy of Personal Data, and the duty to protect participant confidentiality). It is noted that study coordinator was re-trained and IT has been informed to cancel the inquiry so that no further person can see the participant’s information. In addition it is recommended that action be taken to remediate the event including that email information may be sent/resent with the participant private/confidential information redacted, and the study team should also explore whether the email containing participant names can be removed/deleted from email servers. If it has not already been done, the Investigator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</si>
  <si>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GCP_T1_Mar-2021_C4221015: Participant Confidentiality_Price, Timothy Jay_AUS</t>
  </si>
  <si>
    <t>The study coordinator is re-trained and IT has been informed to cancel the inquiry so that no further person can see the patient's information.</t>
  </si>
  <si>
    <t>Product Protocol Number: 
C4221015
Involved Party / Country:
Vendor: PPD / Japan
Awareness Date:
20-Apr-2021
Quality Event Description:
The enrolled participant has been randomized without right process based on IMPALA guideline and the protocol.
This quality event (QE) was discovered by Global Clinical Team Manager (CTM) from PPD on 20Apr2021. Then Japan CTM was informed of this QE on same date. The global CTM reported to Pfizer global on 20Apr2021, also Japan CTM reported to Pfizer Japan on same date.
What Should Have Happened:
According to study process on the enrollment the site needs to request the slot assignment for study entry before obtaining the informed consent. 
When Japan CTM confirmed available slot, Japan CTM put potential participant as FOLFOX cohort according to protocol description as below.
  Participants will be enrolled on a rolling basis in an alternating manner to each cohort when possible based on eligibility criteria. 
And Japan CTM informed the site of putting as FOLFOX cohort with the approval of slot assignment.
The enrolled participant had no prior treatment and did not meet exclusion criteria number 6.  According to IMPALA guideline and the protocol such a participant had to be randomly allocated to either cohorts in IMPALA.
But when she/he was randomized the site selected FOLFOX cohort in IMPALA. Because they recognized this participant should be randomized to FOLFOX cohort based on the slot assignment approval from PPD.
Why Did This Event Happen: 
The reason why this QE occurred is that both the site and PPD Japan did not understand correctly how to be randomized based on IMPALA guideline.
Immediate Actions Taken:
The site needs to be retrained how to randomize based on IMPALA guideline and the protocol.
Japan CTM never mention either of cohorts when the approval of slot assignment will be informed.
CMCD Information:  
Start Date:  20-Apr-2021
End Date:  21-Apr-2021
Reason for Start/End Date:  NA
CMCD Requirement Not Met:  The submission applies to the entire CMCD.
Instead of CMCD Requirement:  The cohort was manually assigned by mistake.
Historical Review: 
Vendor Search: There were no previous similar Quality Events identified for the Vendor in this protocol upon review of quality database.
Assessment Comments: 
This quality event represents CMCD non-conformance.  The CMCD that is referenced by the event reporter is: SOP-PKG-00448-T02.
This appears to be a first occurrence, isolated event for this vendor and site involving a single participant.  The submission indicates that the Japan CTM incorrectly advised the site on the randomization process, as the participant should have been randomly allocated to treatment by the site.  It is noted that the CTM and site will be re-educated on the per-protocol randomization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 It is noted by Quality Event Assessment that neither the PI name nor site number were cited in the QE submission.  Therefore, there is no PI listed as Involved Party in this QE record.</t>
  </si>
  <si>
    <t>GCP_T1_Apr-2021_C4221015: CMCD: Randomization Error_PPD_JPN</t>
  </si>
  <si>
    <t>Data Collection and Management</t>
  </si>
  <si>
    <t>Inadequate ICSR case assessment</t>
  </si>
  <si>
    <t>DMB06-Randomization Schedule Data Blinding and Break Blind</t>
  </si>
  <si>
    <t>Takuya Shiotani</t>
  </si>
  <si>
    <t>The site needs to be retrained how to randomize based on IMPALA guideline and the protocol.
Japan CTM never mention either of cohorts when the approval of slot assignment will be informed.</t>
  </si>
  <si>
    <t>Product Protocol Number: 
C4221015
Involved Party / Country:
PI: Tie, Jeanne (Site Number: 1104) / Australia
Awareness Date:
22-Apr-2021
Quality Event Description:
C4221015 study participant 11041003 had Cycle 2 Day 15 on 21-Apr-2021 to receive [redacted]. The participant was under-dosed and received [redacted] because when Cetuximab was manufactured in pharmacy cytosuite for two participants and it was incorrectly labelled with the other participant’s label. The administering nurse first became aware of this incident when the infusion bag was completed earlier than expected.
What Should Have Happened:
The Cetuximab should be correctly labelled for the participant and participant should have received the correct dose at [redacted].
Why Did This Event Happen: 
Human error during preparation/manufacturing of the Cetuximab at study site.
Immediate Actions Taken:
Site Pharmacists notified study clinicians and asked for advice on management of the participant. Study clinicians advised to administer the remaining partial dose the following day with a new infusion bag. Study site investigators agreed the action.
Historical Review: 
PI Search: There are 2 previous Quality Events identified for this PI upon review of quality database.
PR 2183330_GCP_T1_Jan-2021_C4221015: CMCD: Medication Error_Tie, Jeanne_AUS ( participant 11041001 was administered commercial stock of calcium folinate instead of trial stock from the sponsor. )
PR 2182317_GCP_T1_Dec-2020_C4221015: CMCD: IP Management_Tie, Jeanne; PPD_AUS (discrepancy regarding storage requirements)
Assessment Comments: 
The submission indicates that due to a labelling error in pharmacy, 1 participant was given incorrect IP dose / underdose. The submission confirms that there was no significant adverse impact to participant safety, nor other medical concerns.  It is noted that the site Pharmacists notified study clinicians and asked for advice on management of the participant. Study clinicians advised to administer the remaining partial dose the following day with a new infusion bag.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</si>
  <si>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GCP_T1_Apr-2021_C4221015: Medication Error_Tie, Jeanne_AUS</t>
  </si>
  <si>
    <t>Site Pharmacists notified study clinicians and asked for advice on management of the patient. Study clinicians advised to administer the remaining partial dose the following day with a new infusion bag. Study site investigators agreed the action.</t>
  </si>
  <si>
    <t>Product Protocol Number: 
C4221015
Involved Party / Country:
PI: Price, Timothy Jay (Site Number: 1240) / Australia
Awareness Date:
27-Apr-2021
Quality Event Description:
C4221015 study participant 12401004 is treatment naive and should be randomized into either of the two treatment cohorts [redacted] in IVRS. However, site has enrolled the participant into [redacted] due to their choice. Options to choose treatment is for participants with prior treatment only. It was noticed during iView2 report review.
What Should Have Happened:
Subject should be randomized into the treatment cohort.
Why Did This Event Happen: 
Study site has misunderstanding on the enrolment process.
Immediate Actions Taken:
Study site is re-trained that participants with no prior treatment should be randomized, and not having the treatment chosen.
Historical Review: 
PI Search: There was 1 previous Quality Event identified for this PI upon review of quality database.
PR 2186180_GCP_T1_Mar-2021_C4221015: Participant Confidentiality_Price, Timothy Jay_AUS
Assessment Comments: 
This appears to be a first occurrence, isolated event for this PI involving a single participant.  The submission indicates that 1 participant who is treatment naive and should have been randomized into either of two treatment cohorts [redacted] in IVRS, was instead enrolled into [redacted] due to their choice. Options to choose treatment is for participants with prior treatment only.  It is noted that site was re-trained that participants with no prior treatment should be randomized, and not having the treatment chosen.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including any necessary participant management actions deemed necessary by the clinical team.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</si>
  <si>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GCP_T1_Apr-2021_C4221015: Randomization Error; Medication Error_Price, Timothy Jay_AUS</t>
  </si>
  <si>
    <t>Data Collection and Management, Medicinal Product</t>
  </si>
  <si>
    <t>Inadequate ICSR case assessment, Inadequate preparation, dosing, dispensing error</t>
  </si>
  <si>
    <t>DMB06-Randomization Schedule Data Blinding and Break Blind, IP13-Investigational Medicinal Product</t>
  </si>
  <si>
    <t>Study site is re-trained that subjects with no prior treatment should be randomized, and not having the treatment chosen.</t>
  </si>
  <si>
    <t>Eikenes, Helene</t>
  </si>
  <si>
    <t>Product Protocol Number: 
C4221015
Involved Party / Country:
PI: Eikenes, Helene (Site Number: 1117) / Norway
Vendor: PPD / Norway
Awareness Date:
20-May-2021
Quality Event Description:
The Clinical Study Agreement (CSA) for Site #1117 (PI Eikenes in Norway) was executed prior to confirming that FCPA had been obtained.  The Contract Specialist responsible for sending the CSA for signatures failed to first confirm that FCPA was in place.  It was discovered when a FE CSA report was run that compared FE CSA dates to FCPA dates.  It was discovered by [redacted] while reviewing this report and asking questions about what had occurred.  The Contract Specialist was out of the office and unavailable to provide information and it was confirmed 20-May-2021 that this occurred and that it was a quality event.  This is a local and limited issue.
What Should Have Happened:
The Contract Specialist should have confirmed FCPA prior to sending CSA for execution.
Why Did This Event Happen: 
The Contract Specialist had experienced a difficult and lengthy negotiation of another CSA with another site.  She was so relieved that the negotiations were so easy for this site that she missed to check for the FCPA approval.  The CSA also requires an amendment for the Phase 3 portion of the study and the site that was missing the FCPA is only participating in Phase 3 (expected SIV in Oct 2021), that she immediately began CSA amendment negotiations.  She did acknowledge that she knows we need to have FCPA approval prior to signatures.
Immediate Actions Taken:
FCPA was received quickly and is now in place for this PI.  Contract Specialist to receive retraining on process.
CMCD Information:  
Start Date: 28-Apr-2021
End Date:  20-May-2021
Reason for Start/End Date: NA
CMCD Requirement Not Met: 5. Execute Clinical Study Agreement. A CSA cannot be executed until the full clinical study budget is approved. For ex-US sites, the CSA cannot be executed until FCPA due diligence is approved for the principal investigator. The CSA signed by the principal investigator/site and appropriate authorized Pfizer signatory. The executed CSA is distributed to the investigator, stored in the appropriate repository, and the appropriate staff notified (e.g., CSA author, site monitor, operational study team member [e.g., study manager, clinical operations study operational lead]). The CSA author will provide confirmation of CSA execution to the FCPA due diligence manager.
Instead of CMCD Requirement:
FCPA has been completed.  CSA that was executed previously is currently under negotiation for an amendment.  Amended CSA will be executed after FCPA is in place.
Historical Review: 
PI Search: There were no previous Quality Events identified for this PI upon review of quality database.
Assessment Comments: 
This quality event represents CMCD non-conformance.  The CMCD that is referenced by the event reporter is: INV02-INV04-CT24-WI-GL01 5.0 Clinical Study Agreement and Investigator Site Payments 01-Oct-2020
This appears to be a first occurrence, isolated event for this site.  The submission indicates that for 1 site in Norway, the Clinical Study Agreement (CSA) was executed prior to confirming that FCPA had been obtained.  It is noted that FCPA was received quickly and is now in place for this PI.  Contract Specialist to receive retraining on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</si>
  <si>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GCP_T1_May-2021_C4221015: CMCD: Clinical Study Agreement (CSA) and FCPA Documentation_PPD_NOR</t>
  </si>
  <si>
    <t>Kimberly Nelson</t>
  </si>
  <si>
    <t>FCPA was received quickly and is now in place for this PI.  Contract Specialist to receive retraining on process.</t>
  </si>
  <si>
    <t>Grothey, Axel</t>
  </si>
  <si>
    <t>Critical</t>
  </si>
  <si>
    <t>Product Protocol Number 
C4221009
C4221015
Involved Party / Country:
PI: Grothey, Axel  / United States
Quality Event Description:
Media allegations of sexual misconduct have recently become public and name one Principal Investigator (PI).  Axel Grothey [CCTR# 169638] is associated with Pfizer clinical studies and is accused of inappropriate sexual relationships with mentees in an oncology fellowship program and his licenses in MN, AZ and TN were reprimanded following investigations into complaints made by 2 female mentees. 
Due to allegations of sexual misconduct which have recently become public, PI Axel Grothey had the following actions taken:
  o National Cancer Institute (NCI) has removed Grothey from his position as co-chair of the NCI National Clinical Trials Network Gastrointestinal Steering Committee. 
  o The American Society of Clinical Oncology (ASCO) has disallowed Grothey from presenting at its 2021 virtual annual meeting June 4-8 and initiated formal disciplinary procedures. 
  o Dr. Grothey was removed from the role of Medical Director for the OneOncology Research Network.
  o West Cancer Center (Oncology Practice) initiated an investigation;  PI Grothey is Director of GI Cancer Research at the West Cancer Center.
The disciplinary actions taken above are reported in an online publication, "Cancer Letter" (28-May-2021 Vol.47 No.21).</t>
  </si>
  <si>
    <t>GCP_T3_Jun-2021_C4221015: Potential Allegation_Grothey, Axel_USA</t>
  </si>
  <si>
    <t>YES</t>
  </si>
  <si>
    <t>Due Diligence-A Due Diligence investigation was carried out and activities were completed by the SQE team, including a review of publicly available records, which confirmed the disciplinary actions taken by external agencies / organizations.  
Additional due diligence activities completed by the SQE team are as follows:
  o Confirmed that the collection and review of potential investigator/site
information for C4221015_1004 had been completed, as required (e.g., INV02-GSOP-RF08 Due
Diligence Assessment Form, the Study Team Decision Log (STDL), maintained in Study Team on Demand (SToD), documented investigative site selection.  Note:  consequent to the media allegations described by this SQE, more descriptive information regarding medical license activities are now available to the Study Team.
  o PI Grothey status in ENGAGE System is unavailable [completed 07-Jun-2021].
  o PI Grothey status in CCTR is changed from available to unavailable, prior approval required (UPAR) [completed 09-Jun-2021].
  o PI Grothey status in CCTR is changed from UPAR to permanently unavailable [completed 18-Aug-2021]-Axel Grothey is named Principal Investigator for 2 ongoing clinical studies (C4221015_1004; C4221009_5406 note: all study participants had completed at his C4221009 investigative site when the QE was reported) and 12 Completed studies.-Not Required</t>
  </si>
  <si>
    <t>No</t>
  </si>
  <si>
    <t>Due Diligence</t>
  </si>
  <si>
    <t>Potential allegation of Falsification or misconduct</t>
  </si>
  <si>
    <t>Potential allegation of Scientific fraud, falsification or misconduct</t>
  </si>
  <si>
    <t>Colleen Gorman</t>
  </si>
  <si>
    <t>Not Applicable</t>
  </si>
  <si>
    <t>none to date although team is meeting with legal and compliance for further guidance</t>
  </si>
  <si>
    <t>On 24-Jun-2021, PI Grothey was notified by telephone that he will be removed as PI from clinical trial C4221015 and in follow-up, a CSA will be initiated.</t>
  </si>
  <si>
    <t>Tegtmeier, Jamie</t>
  </si>
  <si>
    <t>1001, 1002, 1003, 1005, 1011, 1012, 1014, 1038, 1054, 677</t>
  </si>
  <si>
    <t>Product Protocol Number: 
C4221015
Involved Party / Country:
PI: Yaeger, Rona D. (Site Number: 1003) / United States
Awareness Date:
07-Jun-2021
Quality Event Description:
Site Selected a treatment arm for their two treatment naive participants when they randomized them in IMPALA IVRS.
What Should Have Happened:
The site should not have selected a treatment cohort for the 2 participants. The site should have selected randomized to treatment which would allow the IVRS system (IMPALA) to choose the cohort the participant is randomized to. Per protocol participants are enrolled on a rolling basis in an alternating manner to each cohort when possible and based on eligibility criteria.
Why Did This Event Happen: 
1. Site misunderstood enrollment portion of the protocol - Per protocol participants are enrolled on a rolling basis in an alternating manner to each cohort when possible and based on eligibility criteria. Per the schema of the protocol, investigators choice is only allowed in Phase 3 of the study and only for Arm C, there is no investigators choice in SLI.
    Site response: "It was our sites understanding that when pts are treatment naive, treating MD gets to choose chemo regiment.  Per protocol there is no mention of SLI being randomized."  
2. Site misunderstood a mass communication that was sent out on 03-Jun-2021 noting no new slot requests would be accepted for 1 of the cohorts. 
    Site response: "Also, FOLFIRI arm closed prior to enrolling these pts to any arm, therefore FOLFOX was the only arm open."
Immediate Actions Taken:
1. Site was contacted and retrained via email.
2. Deviations for the 2 participants captured in Siebel CTMS.
3. PPD requested site to send a training log containing Study Coordinator and PI names and the retraining date.
4. QE reported within 24 hours of knowledge of events. 
5. We kept the participants in the cohort and informed the site they can dose the participants to the cohort the site assigned them.
6. Site instructed to report these deviations to their IRB if reportable and send PPD the submission and acknowledgement if applicable.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single participant.  The submission indicates that the site selected a treatment cohort for 2 participants when they should have selected ‘randomized to treatment’ which would allow the IVRS system (IMPALA) to choose the cohort the participant is randomized to.  It is noted that actions are being taken to remediate, including site retraining, notifying site they can keep the participants in the cohort and dose the participants to the cohort the site assigned them, and the site was instructed to report these deviations to their IRB if reportable and send PPD the submission and acknowledgement if applicable.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</si>
  <si>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GCP_T1_Jun-2021_C4221015: Randomization/Medication Error_Yaeger, Rona D._USA</t>
  </si>
  <si>
    <t>Michelle Straka</t>
  </si>
  <si>
    <t>1. Site contacted and retrained via email.
2. Deviations for the 2 subjects captured in Siebel CTMS.
3. PPD requested site to send a training log containing Study Coordinator and PI names and the retraining date.
4. SQE reported within 24 hours of knowledge of events. 
5. We kept the subjects in the cohort and informed the site they can dose the subjects to the cohort the site assigned them.
6. Site instructed to report these deviations to their IRB if reportable and send PPD the submission and acknowledgement if applicable.</t>
  </si>
  <si>
    <t>Morris, Van K.</t>
  </si>
  <si>
    <t>Product Protocol Number: 
C4221015
Involved Party / Country:
PI: Morris, Van K. (Site Number: 1001) / United States
Awareness Date:
18-Jun-2021
Quality Event Description:
Site shipped samples to a lab that we are not using on our study. The samples were shipped to Hematogenix. The site used the incorrect lab requisition and airway bill to complete sample shipping. Hematogenix notified Histogenex who in turn notified Sponsor of the shipping error. Hematogenix shipped the samples to Histogenex for processing and analyzation.
What Should Have Happened:
The site should have followed our lab manual, used our study supplies, and shipped samples to Histogenex central lab we are utilizing on our study.
Why Did This Event Happen: 
Site did not follow the Lab Manual, shipping, guidelines, or the airway bill to ensure they shipped samples to the correct lab.
Immediate Actions Taken:
Site was notified of this error. An email was sent to the site outlining the issues with the location they shipped the sample to. PPD asked for further information regarding this shipment error, provided email re-training, asked site to provide documentation of retraining be sent to PPD. PPD asked site to analyze this issue to identify a root cause regarding how the samples were shipped to the incorrect lab. Deviation was entered into Siebel CTMS system. PPD also asked for the action the site would put into place to ensure the lab manual, study supplies, shipping location will be followed in the future. PPD also offered to conduct phone retraining and told the site that the CRA will review this issue during the next monitoring visit.
Historical Review: 
PI Search: There were no previous Quality Events identified for this PI upon review of quality database.
Assessment Comments: 
This appears to be a first occurrence, isolated event for this site.  The submission indicates that 1 site shipped samples to a lab that we are not using on our study, Hematogenix, because the site used the incorrect lab requisition and airway bill to complete sample shipping. It is noted that Hematogenix shipped the samples to Histogenex for processing and analyzation, and other actions taken as noted above.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</si>
  <si>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GCP_T1_Jun-2021_C4221015: Lab Sample Shipment_Morris, Van K._USA</t>
  </si>
  <si>
    <t>Inadequate sample/specimen collection and management</t>
  </si>
  <si>
    <t>Site was notified of this error. An email was sent to the site outlining the issues with the location they shipped the sample to. PPD asked for further information regarding this shipment error, provided email re-training, asked site to provide documentation of retraining be sent to PPD. PPD asked site to analyze this issue to identify a root cause regarding how the samples were shipped to the incorrect lab. Deviation was entered into Siebel CTMS system. 
PPD also asked for the action the site would put into place to ensure the lab manual, study supplies, shipping location will be followed in the future. PPD also offered to conduct phone retraining and told the site that the CRA will review this issue during the next monitoring visit.</t>
  </si>
  <si>
    <t>Product Protocol Number: 
C4221015
Involved Party / Country:
PI: Tie, Jeanne (Site Number: 1104) / Australia
Awareness Date:
24-Jun-2021
Quality Event Description:
Participant number of participant 11041008 is incorrectly entered as 11041009 on the requisition form for a tumor sample sent to central lab.
What Should Have Happened:
The participant number should be correctly entered.
Why Did This Event Happen: 
Human mistake - typo error.
Immediate Actions Taken:
Monitors were asked to re-trained the site on lab requisition form entry. 
Central lab to be informed of the correct information. 
Pfizer Study Manager consulted Quality Assurance and QA confirmed this should be reported as Quality Event in the Quality system.
Historical Review: 
PI Search: There are 3  previous Quality Events identified for this PI upon review of quality database.
PR 2187208_GCP_T1_Apr-2021_C4221015: Medication Error_Tie, Jeanne_AUS [participant was under-dosed and received [redacted] because when Cetuximab was manufactured in pharmacy cytosuite for two participants and it was incorrectly labelled with the other participant’s label]
PR 2183330_GCP_T1_Jan-2021_C4221015: CMCD: Medication Error_Tie, Jeanne_AUS ( participant 11041001 was administered commercial stock of calcium folinate instead of trial stock from the sponsor. )
PR 2182317_GCP_T1_Dec-2020_C4221015: CMCD: IP Management_Tie, Jeanne; PPD_AUS (discrepancy regarding storage requirements)
Assessment Comments: 
This appears to be a first occurrence, isolated event for this PI involving a single participant’s lab requisition for tumor sample.  The submission indicates that the participant number was entered incorrectly by site on the requisition form for a tumor sample sent to central lab.  It is noted that Monitors were asked to re-trained the site on lab requisition form entry and Central lab to be informed of the correct information.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</si>
  <si>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GCP_T1_Jun-2021_C4221015: Lab Requisition Form_Tie, Jeanne_AUS</t>
  </si>
  <si>
    <t>Monitors were asked to re-trained the site on lab requisition form entry. Central lab to be informed of the correct information. Pfizer Study Manager consulted Quality Assurance and QA confirmed this should be reported as Quality Event in the Quality system.</t>
  </si>
  <si>
    <t>Kawakami, Hisato</t>
  </si>
  <si>
    <t>Product Protocol Number: 
C4221015
Involved Party / Country:
PI: Kawakami, Hisato (Site Number: 1415) / Japan
Awareness Date:
22-Jun-2021
Quality Event Description:
The Japanese site (Kindai University Hospital) that conducts clinical trial for Pfizer sent misdirected email to CRA/RSM at PPD Japan (PPDSNBL). The email included the colleague at another CRO (PAREXEL) as CC. The CRA who received the email discovered misdirected email and reported to me on 13:38 23-Jun-2021.
The email included below information in Japanese,
 Sponsor name
 IP and Protocol number
 Study phase
 Study title
 Document list for IRB submission (the documents were not attached but the password in order to open the files was shown in the email)
 Target IRB date
What Should Have Happened:
The email should not be sent including another CRO by the site.
Why Did This Event Happen: 
The below information in Japanese have been disclosed to another CRO.
 Sponsor name
 IP and Protocol number
 Study phase
 Study title
 Document list for IRB submission (the documents were not attached but the password in order to open the files was shown in the email)
 Target IRB date
Immediate Actions Taken:
PPD Japan (PPDSNBL) have had the site to request another CRO to delete the email. And the site confirmed on 24-Jun-2021 that another CRO deleted the email.
CMCD Information:  
Start Date: 23-Jun-2021
End Date:  24-Jun-2021
Reason for Start/End Date: NA
CMCD Requirement Not Met: confidential information on clinical trial have been disclosed
Instead of CMCD Requirement: disclosed confidential information on clinical trial to be deleted
Historical Review: 
PI Search: There were no previous Quality Events identified for this PI upon review of quality database.
Assessment Comments: 
This quality event represents CMCD non-conformance.  The CMCD that is referenced by the event reporter is: (NA)
This appears to be a first occurrence, isolated event for this site.  The submission indicates that this site sent an email to PPD CRA however also included on cc: 1 CRO colleague (PAREXEL) and the email contained following information in Japanese: Sponsor name, IP and Protocol number, Study phase, Study title, Document list for IRB submission (the documents were not attached but the password in order to open the files was shown in the email), and target IRB date.  It is noted that the CRO colleague who should not have received the email was notified and confirmed deletion of the email on 24-Jun-2021.  There is no indication in the submission of significant adverse impact to sponsor confidentiality, due to this event, as the information did not contain protocol detail beyond the Protocol Number and Protocol Title, and has been confirmed deleted. The event appears to be appropriate for the monitor/study team to continue to manage. In addition, it is recommended that action be taken to remediate the event including exploring with other CRO whether the email containing sponsor information can be removed/deleted from email servers. If it has not already been done, the site should be retrained on maintaining confidentiality of sponsor data/information. These remediation actions should minimize potential impact to sponsor confidentiality.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Takuya Shiotani-san,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http://datasecurity.pfizer.com/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</si>
  <si>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GCP_T1_Jun-2021_C4221015: CMCD: Sponsor Data Protection and Confidentiality_Kawakami, Hisato_JPN</t>
  </si>
  <si>
    <t>PPD Japan (PPDSNBL) have had the site to request another CRO to delete the email. And the site confirmed on 24Jun2021 that another CRO deleted the email.</t>
  </si>
  <si>
    <t>1033, 1264</t>
  </si>
  <si>
    <t>Elez Fernandez, Mª Elena, Lonardi, Sara</t>
  </si>
  <si>
    <t>Product Protocol Number: 
C4221015
Involved Party / Country:
Vendor: PPD / Italy, Spain
Awareness Date:
05-May-2021
Quality Event Description:
The EU drug depot (Fisher) has had significant backlog of shipments due to a COVID outbreak that impacted more than half of the staff in April 2021. This outbreak caused many staff to be home quarantining and therefore planned drug shipments at two of the highest enrolling EU sites were either missed, delayed, or shipped to the wrong location.  So although participant visits were rescheduled as best as possible without jeopardizing their health, the study team has had to authorize 3 participants to receive commercial supply of calcium folinate (1 visit) and 5-FU (2 visits) at two different sites in Europe.
What Should Have Happened:
Drug shipments should have been triggered, released and shipped accordingly to the resupply algorithm and number of participants.
Why Did This Event Happen: 
Severe understaffing at the EU drug depot due to a COVID-19 outbreak.
Immediate Actions Taken:
For those participants with an immediate urgency for treatment, Pfizer allowed sites to use commercial supply of calcium folinate and 5FU.  PPD, study manager and clinical supply lead have been closely monitoring the drug shipment status for the two high enrolling sites and expediting shipments where needed; however this is very tedious and is becoming increasingly challenging the more participants these sites enroll.  The depot was expected to be fully functioning by end of May but we continue to see significant delays.  Additionally, the depot staffing issue impacted other Pfizer studies so there is a larger investigation going on a higher level.  
Historical Review: 
Protocol Search:  There were no previous, similar Quality Events found for this protocol upon review of the quality database.
Assessment Comments: 
The submission indicates that sites have dispensed commercial supply of calcium folinate and 5FU to participants, as sponsor-provided supply was unavailable.  The quality event eForm details note there was no significant adverse effect to participants’ safety due to the site’s need to dispense non-study provided medication; nor other medical concerns.  The event appears to be appropriate for the 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</si>
  <si>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GCP_T1_Jul-2021_C4221015: Investigational Product Supply Management_PPD_ITA; ESP</t>
  </si>
  <si>
    <t>Inadequate handling, storage, availability</t>
  </si>
  <si>
    <t>Britt Tella</t>
  </si>
  <si>
    <t>For those patients with an immediate urgency for treatment, PFE allowed sites to use commercial supply of calcium folinate and 5FU.  PPD, study manager and clinical supply lead have been closely monitoring the drug shipment status for the two high enrolling sites and expediting shipments where needed; however this is very tedious and is becoming increasingly challenging the more patients these sites enroll.  The depot was expected to be fully functioning by end of May but we continue to see significant delays.  Additionally, the depot staffing issue impacted other PFE studies so there is a larger investigation going on a higher level.</t>
  </si>
  <si>
    <t>1235, 1362</t>
  </si>
  <si>
    <t>Bragagnoli, Arinilda Campos, Gravina, Livia Brancher</t>
  </si>
  <si>
    <t>Product Protocol Number: 
C4221015
Involved Party / Country:
Vendor: PPD / Brazil 
Awareness Date:
18-Aug-2021
Quality Event Description:
The Clinical Study Agreements (CSAs) for Site #1235 (PI Brancher Gravina in Brazil) and for Site #1362 (PI Campos Braggagnoli in Brazil) were executed prior to confirming that FCPA had been obtained.  The Contract Specialist responsible for sending the CSA for signatures failed to first confirm that FCPA was in place.  The STM responsible to request the FCPA confirmation lacked the FCPA screening form and she finally requested to the COFCPA team the approval of FCPAs due diligence for all participant countries in Latino America on 16-Aug-2021. It was discovered when a FE CSA report was run that compared FE CSA dates to FCPA availability.  
It was discovered by Oversight Director and global STM at PPD, while reviewing this report and asking questions about what had occurred.  The Contract Specialist was able to provide information and confirmed on 18-Aug-2021 that both CSAs were executed without the FCPA for site 1362 on 01-Jul-2021 and for site 1235 on 16-Aug-2021 and that it was a quality event.  This is a local and limited issue.
What Should Have Happened:
According to the process the contract specialist must check if the FCPA approval for the PI is in place, before any contract would be routed for signature.
Why Did This Event Happen: 
The Contract Specialist has experienced difficult and lengthy negotiation in general with sites in Brazil, and she felt relieved that the negotiations with these two sites were easy and faster; before the CSA executions  for these two sites she asked the Global Contract Manager and the regional STM at PPD about the availability of the FCPA  a couple of times, but she missed to ensure the availability of the FCPA approval.  She did acknowledge that she knows we need to have FCPA approval prior to signatures.
Immediate Actions Taken:
The regional STM requested the Contract specialist to contact immediately both sites, in order to ensure they reply quickly to the COFCPA specialist completing the questionnaire they received. 
The regional STM is following closely the status of site response and FCPA availability with the COFCPA specialist. 
The regional STM reminded all Contract specialist in LATAM that they cannot execute any CSA without the FCPA approval in place on 18-Aug-2021 and by written [documentation]. 
The regional STM informed the Contract Specialists based in Argentina, Brazil and Mexico about the available approved FCPAs for their countries. 
All Contract Specialist and the STM in the Latino America will be retrained on the process.
Historical Review: 
Protocol Search: There were no previous similar Quality Events identified for this Protocol upon review of quality database.
Assessment Comments: 
This appears to be a first occurrence, isolated event for this protocol.  The submission indicates that for 2 sites in Brazil, Clinical Study Agreements (CSAs) were executed prior to confirming that FCPA had been obtained.  It is noted that actions are being taken to remediate this issue including that the regional STM requested the Contract specialist to contact immediately both sites, in order to ensure they reply quickly to the COFCPA specialist completing the questionnaire they received, is also following closely the status of site response and FCPA availability with the COFCPA specialist, reminded all Contract specialists in LATAM that they cannot execute any CSA without the FCPA approval in place, informed the Contract Specialists based in Argentina, Brazil and Mexico about the available approved FCPAs for their countries, and the Contract Specialist and the STM in the Latino America will be retrained on the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</si>
  <si>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GCP_T1_Aug-2021_C4221015: Clinical Study Agreements (CSAs)_PPD_BRA</t>
  </si>
  <si>
    <t>Laura Paredes Trejo</t>
  </si>
  <si>
    <t>The regional STM requested the Contract specialist to contact immediately both sites, in order to ensure they reply quickly to the COFCPA specialist completing the questionnaire they received. 
The regional STM is following closely the status of site response and FCPA availability with the COFCPA specialist. 
The regional STM reminded all Contract specialist in LATAM that they cannot execute any CSA without the FCPA approval in place on August 18, 2021 and by written. 
The regional STM inform the Contract Specialists based in Argentina, Brazil and Mexico about the available approved FCPAs for their countries. 
All Contract Specialist and the STM in the Latino America will be retrained on the process.</t>
  </si>
  <si>
    <t>Lonardi, Sara</t>
  </si>
  <si>
    <t>Product Protocol Number: 
C4221015
Involved Party / Country:
PI: Lonardi, Sara (Site Number: 1264) / Italy
Awareness Date:
02-Sep-2021
Quality Event Description:
2 patients met protocol exclusion criteria:
 Patient 12641003 -met exclusion criterion n2 under PA1. This patient had a documentation on Source Documents about pancreatitis fully resolved (1998). CRA noticed during IMV performed on 2-4-Aug-2021. According to the protocol this is an exclusion criterion and CRA discussed with Sub-I Dr. Intini who was present during IMV. Meanwhile CRA and CTM investigated if a very old pancreatitis fully resolved was to be considered an exclusion criterion. This was confirmed by clinicians. PI was contacted by CRA as soon as possible on 6-Aug-2021 and she confirmed the resolved pancreatitis, but she highlighted that our treatment was and is still the best therapeutical option (EC FOLFIRI) considering life threatening condition of disease under study. CRA raised an ePIP for this patient. On 10-Aug-2021 clinicians confirmed through ePIP that any pancreatitis represent exclusion criteria and on 11-Aug-2021 CRA notified PI and staff about violation of eligibility as per ePIP#470341. Training log was sent for acknowledgement.
Patient 12641008 (met exclusion criterion n11 under PA3). This patient had a documentation on Source Documents about ST segment elevation Myocardial Infarction. CRA noticed during IMV performed on 2-4-Aug-2021. CRA discussed eligibility concern with SI Intini who explained they documented clearly they could not wait further 180 days to have 6 months since STEMI event and stent implant. On 06-Aug-2021 CRA discussed the eligibility concern with PI Lonardi who confirmed this was and is still best therapeutic option considering life threatening condition of disease under study. Clinicians confirmed 6 months are meant 180 days and should be always respected. CRA notified PI and staff about violation of eligibility as per ePIP#470348. Training log sent for acknowledgement.
What Should Have Happened:
PI should have discussed with clinicians before randomizing the patients.
Why Did This Event Happen: 
12641003_PI considered pancreatitis as a resolved event
12641008_PI considered patient had a stent just few weeks before the allowed time limit and didn't consider this could have impacted
In both cases PI considered our trial was the best option for those patients.
Immediate Actions Taken:
CTM escalated to the Sponsor.
PI and Sub-I have been re-trained by CRA about inclusion and exclusion criteria and the need to discuss with clinicians in case of any doubts.
CTM asked Sponsor's Study Manager to involve clinicians in order to reiterate the message before enrollment for Phase 3 portion will start and new patients will be recruited.
Historical Review: 
PI Search: There were no previous Quality Events identified for this PI upon review of quality database.
Protocol Search: There were no previous similar Quality Events identified for this Protocol upon review of quality database.
Assessment Comments: 
This appears to be a first occurrence, isolated event for this PI involving a 2 participants.  The submission indicates that 2 participants were randomized when they had exclusion criteria; the PI had decided to do this because for 1st participant, PI considered pancreatitis as a resolved event, and for 2nd participant, considered patient had a stent just few weeks before the allowed time limit and didn't think this would have impact; in both cases PI felt that trial was the best option for those patients.  It is noted that the PI and Sub-I have now been re-trained regarding inclusion and exclusion criteria and the need to discuss with clinicians in case of any doubts; CTM asked Sponsor's Study Manager to involve clinicians in order to reiterate the message before enrollment for Phase 3 portion will start and new patients will be recruited.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any guidance on appropriate participant management from the study team if necessary.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</si>
  <si>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GCP_T1_Sep-2021_C4221015: Exclusion Criteria_Lonardi, Sara_ITA</t>
  </si>
  <si>
    <t>Protocol Deviations</t>
  </si>
  <si>
    <t>Failure to comply with protocol inclusion/exclusion criteria</t>
  </si>
  <si>
    <t>Annachiara DallAglio</t>
  </si>
  <si>
    <t>CTM escalated to the Sponsor.
PI and Sub-I have been re-trained by CRA about inclusion and exclusion criteria and the need to discuss with clinicians in case of any doubts.
CTM asked Sponsor's Study Manager to involve clinicians in order to reiterate the message before enrollment for Phase 3 portion will start and new patients will be recruited.</t>
  </si>
  <si>
    <t>Product Protocol Number: 
C4221015
Involved Party / Country:
PI: Lonardi, Sara (Site Number: 1264) / Italy
Awareness Date:
17-Sep-2021
Quality Event Description:
Participant 12641007 was randomized on 7Jun21 despite positive medical history of atrial flutter matching with PA1_Exclusion Criteria 11c.
On 03Aug2021 CRA verified participant 1007 has atrial flutter treated in the past and asked SI Intini clarification about evaluation of this condition for eligibility. SI confirmed they deemed EC11c not met for participant 1007 since no more arrhythmias present at randomization. CRA to FU for correct interpretation of protocol.
On 11Aug2021 CRA notified PI/staff about ePIP470460 confirming that patient with clinical significant arrhythmia history is not eligible. CRA asked PI/SI feedback about rating of atrial flutter diagnosed to participant 1007 in 2014.
On 02Sep21 CRA re-SDV and identified atrial flutter not reported clearly in CRF and not documented clearly as Clinical Significant (CS). CRA asked PI/SI to confirm.
On 06Sep21 CRA got confirmation from SI Intini that participant 1007 had clinical significant atrial flutter requiring treatment in 2014 (transcatheter ablation) with no sequelae in 2021. SI Intini asked to seek for PI final feedback on CS rating of this arrhythmia.
On 14Sep21 CRA asked PI Lonardi to confirm correct interpretation of participant 1007 atrial flutter condition in the past and at the moment of randomization.
On 15Sep21 CRA submitted ePIP477105 for final feedback.
On 17Sep21 it was confirmed by clinician the participant was a violator of exclusion criterion 11c.
What Should Have Happened:
PI should have read carefully inclusion/exclusion criteria.
PI should have discussed with clinicians and CRA in case of any doubts about inclusion/exclusion criteria.
Why Did This Event Happen: 
Investigators thought an arrhythmia resolved in 2014 with no sequalae was not an exclusion criterion.
Protocol is conservative on criterion 11c.
Immediate Actions Taken:
Participant was already passed away on 17Jul21, no action could have been taken with this participant and no slot was available to enroll any new participant on Safety Lead-in Phase since August.
CRA already re-trained in August the Investigators about inclusion/exclusion criteria when the first 2 violators have been cached, CRA reminded also the need to discuss with clinicians for any doubts. Retrainings were documented.
CRA will inform Investigators about the new confirmed violator.
CTM feels an additional retraining from CRA could not be sufficient but a stronger message should be given since this could be reiterated during Phase 3 enrollment.
CTM asked clinicians to support since this is the 3rd violator/8 participants enrolled. Clinicians will contact PI and discuss with PI the importance about meeting eligibility criteria.
Historical Review: 
PI Search:  There was one previous Quality Event found for this PI upon review of the quality database.
PR 2194034_GCP_T1_Sep-2021_C4221015: Exclusion Criteria_Lonardi, Sara_ITA
Assessment Comments: 
The submission indicates that one participant was enrolled in June 2021 despite having an exclusionary medical history of atrial flutter.  The participant was randomized because the Sub-Investigator deemed Exclusion Criterion not applicable since they did not have arrhythmias present at the time of randomization.  It is noted the site has a history of two participants being randomized without satisfying Inclusion/Exclusion criteria and the CRA retrained the site in August 2021.  The study team is taking further action and the Clinicians will discuss the matter with the PI to reinforce the importance of protocol adherence.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</si>
  <si>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GCP_T1_Sep-2021_C4221015: Protocol Deviation: Exclusion Criteria_Lonardi, Sara_ITA</t>
  </si>
  <si>
    <t>Failure to follow protocol</t>
  </si>
  <si>
    <t>Patient was already passed away on 17Jul21 no action could have been taken with this subject and no slot was available to enroll any new patient on Safety Lead in Phase since August.
CRA already re-trained in August the Investigators about inclusion/exclusion criteria when the first 2 violators have been cached, CRA reminded also the need to discuss with clinicians for any doubts. Retrainings were documented.
CRA will inform Investigators about the new confirmed violator.
CTM feels an additional retraining from CRA could be NOT sufficient but a stronger message should be given since this could be reiterated during Phase 3 enrollment.
CTM asked clinicians to support since this is the 3rd violator/8 patients enrolled. Clinicians will contact PI and discuss with PI the importance about meeting eligibility criteria.</t>
  </si>
  <si>
    <t>Product Protocol Number: 
C4221015
Involved Party / Country:
Pfizer  / Slovakia 
Awareness Date:
22-Oct-2021
Quality Event Description:
For regulatory submission purposes, Slovakia requires an expert to determine the amount of radiation a participant is potentially exposed to in a study.  The Ethics Committee (EC) requires a radiation report for approval of the study.  The local Slovakia team enlisted the services of a specialist prior to obtaining a consultancy agreement.
What Should Have Happened:
We should have had a consulting agreement in place with the expert before asking her to perform this task.
Why Did This Event Happen: 
Lack of communication and understanding between the local Pfizer Slovakia team, PPD and the core team.  The local team was trying to meet the deadlines for EC submission for the study and proceeded without contracts in place.
Immediate Actions Taken:
Reminded local Pfizer team and PPD team that a contract must be in place prior to any services being provided.
Historical Review: 
Protocol / Country Search: There were no previous similar Quality Events identified for this Protocol in Slovakia upon review of quality database.
Assessment Comments: 
This appears to be a first occurrence, isolated event for this protocol.  The submission indicates that the local Slovakia team enlisted the services of a specialist prior to obtaining a contract/consultancy agreement. It is noted that local Pfizer team and PPD team were reminded that a contract must be in place prior to any services being provided.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</si>
  <si>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GCP_T1_Oct-2021_C4221015: CMCD: Contract/Consultancy Agreement_Pfizer_SVK</t>
  </si>
  <si>
    <t>Third Party Management</t>
  </si>
  <si>
    <t>Inadequate third-party contract dev,execution,revision/update (eg. obsolete safety exhibit, missing signature,dates mis-aligned)</t>
  </si>
  <si>
    <t>Reminded local PFE team and PPD team that a contract must be in place prior to any services being provided.</t>
  </si>
  <si>
    <t>Product Protocol Number: 
C4221015
Involved Party / Country:
Vendor: PPD / Poland 
Awareness Date:
18-Nov-2021
Quality Event Description:
Contract site agreement was fully executed on 08-Oct-21 before receipt of FCPA approval received on 18-Nov-21.
During the review process of FCPA compliance for CTA executed in October, it was identified that the FCPA for site 1135 was missing and requested from the PPD Start-up Team Manager on 18-Nov-21. FCPA approval was requested and received on the same day, 18-Nov-21. PI completed the questionnaire previously for another study which was already on file.
What Should Have Happened:
FCPA approval should have been received prior to 08-Oct-21.
Why Did This Event Happen: 
FCPA request for all sites in Poland was made by PPD Start-up team manager within the same request email to COFCPA team on 21-May-2021. COFCPA asked support from PPD to request FCPA approval for non-responsive sites and provided FCPA approval emails for the other sites. PPD contract specialist followed up with the non-responsive sites until completion of the FCPA questionnaires and receipt of remaining FCPA approval emails. Site 1135 was not a part of non-responsive PI list and it was not spotted by PPD STM and CS that FCPA approval was missed for this site.
Immediate Actions Taken:
Follow-up on FCPA request the day of awareness of the issue on 18-Nov-21. Receipt of the FCPA approval on the same day on 18-Nov-21. It was double checked and confirmed that FCPA for all other PIs were in place for Poland. PPD Contract Specialist re-trained and reiterated the importance of checking the actual receipt of FCPA approval prior sending the contract for site signature on 22-Nov-21.
CMCD Information:  
Start Date: 08-Oct-2021
End Date:  18-Nov-2021
Reason for Start/End Date: NA
CMCD Requirement Not Met: FCPA approval was not in place before contract execution.
Instead of CMCD Requirement: FCPA approval was received after execution of contract.
Historical Review: 
Vendor Search:  There were no previous, similar Quality Events for the vendor in the C4221015 protocol identified upon review of the quality database.
Assessment Comments: 
This quality event represents CMCD non-conformance.  The CMCD that is referenced by the event reporter is: INV02-INV04-CT24-WI-GL01 5.0 Clinical Study Agreement and Investigator Site Payments 01-Oct-2020.
The Quality Event submission notes that for one PI, FCPA approval was not received prior to execution of the CSA.  It is noted that FCPA approval was received after execution of the contract and re-training for the PPD Contract Specialist was conducted on 22-Nov-2021.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</si>
  <si>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GCP_T1_Nov-2021_C4221015: CMCD: FCPA Due Diligence_PPD_POL</t>
  </si>
  <si>
    <t>Isabelle Herzog</t>
  </si>
  <si>
    <t>- Follow-up on FCPA request the day of awareness of the issue on 18 Nov 21
- Receipt of the FCPA approval on the same day on 18 Nov 21 
- It was double checked and confirmed that FCPA for all other PIs were in place for Poland
- PPD Contract Specialist retrained and was reiterated the importance of checking actual receipt of FCPA approval prior sending the contract for site signature on 22 Nov 21</t>
  </si>
  <si>
    <t>Yoshino, Takayuki</t>
  </si>
  <si>
    <t>Product Protocol Number: 
C4221015
Involved Party / Country:
PI: Yoshino, Takayuki (Site Number: 1382) / Japan
Awareness Date:
05-Jan-2022
Quality Event Description:
-Participant 13821004:
21Dec2021-Vomited all capsules after administering [dose redacted]. Took additional [dose redacted] afterwards. 
Participant’s safety: no safety concerns (End of treatment blood tests, vital, ECG were conducted on 27Dec2021, and no major AEs were raised as per investigator’s opinion). 
Who discovered it: study coordinator
Date of awareness and how it was discovered: 5Jan2022- The study coordinator confirmed the participant’s dosing diary and became aware of the event. The participant visited the site on 27Dec2021 only for the planned CT examination, but since progressive disease was confirmed, end of treatment examination was conducted on the same day. The participant diary was not brought to the site on this day since end of treatment was not originally planned, so the study coordinator could not be aware of the situation on 27Dec2021. 
Approach/ Methodology taken to investigate event: Confirmation from study coordinator and investigator. Reported to medical monitor on 5Jan2022, as required per protocol (same day of awareness of event). 
Additional information regarding event.
[Dose redacted] administration time on 20Dec2021: 2:50PM 
[Dose redacted] administration time on 21Dec2021: 10:00AM. The participant vomited right after taking the [dose redacted], and re-administered [dose redacted]. 
[Dose redacted] administration time on 22Dec2021: 10:00AM 
Vomiting AE grade, start/end date: Grade 1, 04May2021/ ongoing
What Should Have Happened:
According to the protocol (6.1.3.1), If a participant vomits at any time after dosing, the dose of study intervention should not be re-administered.
Why Did This Event Happen: 
Insufficient training regarding the administration procedures to the participant.
Immediate Actions Taken:
Corrective Action;
Although this participant has ended study treatment, site reported to participant 13821004 that [dose redacted] was not administered per protocol procedure and informed participant to let the study coordinator or investigator know if any symptoms are found. 
The site conducted reporting of protocol deviation, recording issue in source documents.  The CRA will follow up with site about this action.
In addition, the study coordinator confirmed that there was no overdose of [dose redacted] on other days for this participant.
Preventive Action;
Participant ended treatment on 27Dec2021 due to progressive disease but for other active participants, as a preventive action, the CRA retrained the study coordinator and investigator to train other participants on the administration rules. The site agreed to inform the active participants on the how to administer IP.
Historical Review: 
PI Search:  There was one previous Quality Event found for this PI upon review of the quality database.
PR 1827793_GCP_T1_Jun-2014_B2151005_Yoshino, Takayuki_JPN:  Participants signed ICD prior to IRB approvals.
Assessment Comments: 
This appears to be a first occurrence, isolated event for this PI involving a single participant.  The submission indicates that the participant re-administered their IP after they vomited post-dosing, contrary to the protocol requirements.  It is noted that the site has advised the participant to inform them of any associated adverse effects, the CRA retrained the site personnel on per-protocol dose administration and the site will re-educate their ongoing participants on dose administration.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</si>
  <si>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GCP_T1_Jan-2022_C4221015: Medication Error_Yoshino, Takayuki_JPN</t>
  </si>
  <si>
    <t>Shinya Okuma</t>
  </si>
  <si>
    <t>Corrective Action;
Although this subject has ended study treatment, reported to subject 13821004 that encorafenib was not administered per protocol procedure and informed subject to let the study coordinator or investigator know if any symptoms are found. 
The site conduct reporting of protocol deviation, recording issue in source documents.  The CRA will follow up with site about this action.
In addition, the study coordinator confirmed that there was no overdose of encorafenib capsules on other days for this subject.
Preventive Action;
Subject ended treatment on 27Dec2021 due to progressive diseasebut for other active subjects, as a preventive action, the CRA retrained the study coordinator and investigator to train other subjects on the administration rules. The site agreed to inform the active subjects on the how to administer IP.</t>
  </si>
  <si>
    <t>Product Protocol Number:  
C4221015
Involved Party / Country: 
Pfizer / United Kingdom 
Awareness Date: 
20-Jan-2022
Quality Event Description: 
Clinical Trial Agreement (CTA) submission was submitted without a signed application form. The signed application form is submitted electronically but needs an authorized signature to be included to meet Regulatory Agency requirements in the UK.
What Should Have Happened: 
CTA Submission should have contained a signed application form.
Why Did This Event Happen:  
To be determined during the investigation.
Immediate Actions Taken: 
Application was withdrawn.
Historical Review:  
Protocol Search: There were no previous similar Quality Events identified for this Protocol upon review of quality database.
Assessment Comments:  
The submission indicates that the Clinical Trial Agreement (CTA) submission was submitted without an authorized signature which is required to meet Regulatory Agency requirements in the UK.
It is noted that the CTA application was withdrawn.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</si>
  <si>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GCP_T1_Jan-2022_C4221015: Clinical Trial Agreement (CTA)_Pfizer_GBR</t>
  </si>
  <si>
    <t>Kevin Michael Marsden</t>
  </si>
  <si>
    <t>Application was withdrawn.</t>
  </si>
  <si>
    <t>Kavan, Petr</t>
  </si>
  <si>
    <t>Product Protocol Number:  
C4221015
Involved Party / Country: 
PI: Kavan, Petr (Site Number: 1132) / Canada 
Awareness Date: 
25-Jan-2022
Quality Event Description: 
A Research Ethics Board (REB) specifically requested a separate Prescreening ICD to cover the prescreening components of the protocol.  The study team did not create a specific Prescreening ICD for this study - the prescreening components are covered within the Main ICD template. The Study Manager and Site Relationship Partner (SRP) decided to use the site's template ICD in order to create a site specific Prescreening ICD (dated 14-Sep-2021) for this study since all of the standard clauses from the site's template were already approved by Pfizer legal (i.e. compensation, confidentiality etc.).  The Prescreening ICD was reviewed by Pfizer Legal and the Clinical team prior to submission to ethics.  The Prescreening ICD was reviewed and approved by the REB as well.  When it came time to complete the GRAF, the SRP reached out to the CT05 BPO team to obtain guidance on how to complete it. 
What Should Have Happened: 
Team should have used the CT05-GSOP-RF06 6.0 Molecular Prescreening Informed Consent 01-Jul-2019 as the template to create the site specific Prescreening ICD.
Why Did This Event Happen:  
Since the request for a Prescreening ICD to be separate came specifically from the site's REB, it was thought that using the site's template ICD would be the most efficient way to proceed.  There was no template Prescreening ICD created by the study team for this study and Pfizer legal had already approved the site's standard clauses around confidentiality and compensation.  Even if the team were to use the CT05-GSOP-RF06 6.0 Molecular Prescreening Informed Consent 01-Jul-2019 template, the site is forced to use their own standard clauses for many sections of the ICD and so the ICD would have been greatly modified nonetheless.  Using the site's template ICD was seen as the most efficient path forward to manage this REB specific request.
Immediate Actions Taken: 
The CT05 BPO re-educated the SRP about the requirement for using the CT05-GSOP-RF06 6.0 Molecular Prescreening Informed Consent 01-Jul-2019 template since its purpose is to use as a stand-alone template to develop the ICD when it is required or preferred that consent to molecular prescreening for a study be separate from the main ICD.  The SRP will review this with the study team as well for their awareness.  Finally, the newly created Prescreening ICD was reviewed and approved by Pfizer legal, the clinical team and the REB.  The SRP also plans to complete a GRAF for this ICD which shows that the content is derived from the Main Canadian country level ICD, but will consider adding a sub note to show that the site's template ICD was used to start off with.
CMCD Information:   
Start Date: 14-Sep-2021
End Date: 25-Jan-2022
Reason for Start/End Date: NA 
CMCD Requirement Not Met: The CT05-GSOP-RF06 6.0 Molecular Prescreening Informed Consent 01-Jul-2019 was not used as the template to create a site specific Prescreening ICD (as per request of the REB).
Instead of CMCD Requirement: The site's template ICD was used as the starting point and verbiage regarding prescreening components from the Main Canadian country level ICD were incorporated into the site's template.
Historical Review:  
PI Search: There were no previous Quality Events identified for this PI upon review of quality database.
Assessment Comments:  
This quality event represents CMCD non-conformance.  The CMCD that is referenced by the event reporter is:  CT05-GSOP 8.0 Informed Consent Document 06-Dec-2021.
Based on eForm entries, there was no system set auto-threshold for this event. This appears to be a first occurrence, isolated event for this PI. The submission indicates that a request for a Prescreening ICD was made by the Canadian REB and instead of the site using the CT05-GSOP-RF06 6.0 Molecular Prescreening Informed Consent 01-Jul-2019 as a template, the site used the Main Canadian country level ICD and incorporated prescreening components. It is noted that the CT05 BPO re-educated the SRP about the requirement for using the correct ICD template, who will in turn review this with the study team. The newly created Prescreening ICD was reviewed and approved. The SRP will complete a GRAF for the ICD which shows that the content is derived from the Main Canadian country level ICD, but will consider adding a sub note to show that the site's template ICD was used to start off with.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study team receives feedback indicating negative reaction from the regulatory agency due to the event, please resubmit providing detail on the impact.</t>
  </si>
  <si>
    <t>GCP_T1_Jan-2022_C4221015: CMCD: Informed Consent Document_Kavan, Petr_CAN</t>
  </si>
  <si>
    <t>Informed Consent</t>
  </si>
  <si>
    <t>Inadequate consent document content</t>
  </si>
  <si>
    <t>CT05-Informed Consent Document</t>
  </si>
  <si>
    <t>Claudia De Paola</t>
  </si>
  <si>
    <t>The CT05 BPO re-educated the SRP about the requirement for using the CT05-GSOP-RF06 6.0 Molecular Prescreening Informed Consent 01-Jul-2019 template since its purpose is to use as a stand-alone template to develop the informed consent document (ICD) when it is required or preferred that consent to molecular prescreening for a study be separate from the main ICD.  The SRP will review this with the study team as well for their awareness.  Finally, the newly created Prescreening ICD was reviewed and approved by Pfizer legal, the clinical team and the REB.  The SRP also plans to complete a GRAF for this ICD which shows that the content is derived from the Main Canadian country level ICD, but will consider adding a subnote to show that the site's template ICD was used to start off with.</t>
  </si>
  <si>
    <t>Product Protocol Number: 
C4221015
Involved Party / Country:
PI: Yoshino, Takayuki (Site Number: 1382) / Japan
Awareness Date:
21-Feb-2022
Quality Event Description:
Participant 13821009 took 8 capsules of encorafenib on 8-Feb-2022, 4 in the morning, and 4 in the evening. The participant did not take encorafenib on 9-Feb2-022 (self- decision) and forgot to report to the study coordinator or investigator about this. This was the first occurrence of drug overdose for this participant (13821009).
What Should Have Happened:
As per protocol, only 4 capsules of encorafenib must be taken every morning.
Why Did This Event Happen: 
Root cause was due to participant’s unexpected mistake. The participant accidentally took an additional dose of encorafenib on 8-Feb-2022 at 6:30PM with other medications (non-study drugs) after dinner. The site had adequately instructed the participant (and other participants as well) regarding study drug dosing instructions and instructions to contact the site if anything occurs, so this issue was due to the participant’s mistake.
Immediate Actions Taken:
Corrective action: The site confirmed whether participant 13821009 had other drug overdose or dates, and confirmed that 8-Feb-2022 was the only day of drug overdose occurrence. 
Preventive action: Reminder to participants (including participant 13821009 and other active participants) to contact the study coordinator or investigator whenever a drug dosing error occurs. Retraining to all participants to only take encorafenib once a day.
Historical Review: 
PI Search: There were 2 previous Quality Events identified for this PI upon review of quality database.
PR 2200805_GCP_T1_Jan-2022_C4221015: Medication Error_Yoshino, Takayuki_JPN
[participant re-administered their IP after they vomited post-dosing, contrary to the protocol requirements. ]
PR 1827793_GCP_T1_Jun-2014_B2151005_Yoshino, Takayuki_JPN:  Participants signed ICD prior to IRB approvals.
Assessment Comments: 
The submission indicates that 1 participant took 8 capsules of encorafenib on 8-Feb-2022, while they should have taken only 4 capsules of encorafenib. The participant did not take encorafenib the next day by self- decision, and forgot to report this dosing error to the site. This was the first occurrence of drug overdose for this participant (13821009). It is noted that the site confirmed that this was the only drug overdose occurrence for this participant, and site provided reminder to all study participants to contact the study coordinator or investigator whenever a drug dosing error occurs and to only take encorafenib once a day.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</si>
  <si>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GCP_T1_Feb-2022_C4221015: Medication Error_Yoshino, Takayuki_JPN</t>
  </si>
  <si>
    <t>Corrective action: The site confirmed whether subject 13821009 had other drug overdose or dates, and confirmed that 8Feb2022 was the only day of drug overdose occurrence. 
Preventive action: Reminder to subjects (including subject 13821009 and other active subjects) to contact the study coordinator or investigator whenever a drug dosing error occurs. Retraining to all subjects to only take encorafenib once a day.</t>
  </si>
  <si>
    <t>Major</t>
  </si>
  <si>
    <t>Product Protocol Number: 
C4221015
Involved Party / Country:
Vendor: Marken / Taiwan
This study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  
The C4221015 study had six Temperature Excursion (TE) events at site 1088, 1037, and 1157 during Investigational Product (IP) shipping between 14-Dec-2021 and 01-Mar-2022.  The Temperature Excursion events and information is as follows:  
Event #1 and #2 (14Dec2021): Site 1088, Shipment ID 1735245:  This shipment included refrigerated and ambient drugs separated in two shipping boxes, and both boxes which are placed in one container for shipping had TE events: Ambient IP below 14.5 C and Refrigerated IP was over 8.4C.  
Event #3 (24Jan2022): Site 1088, Shipment ID 1741654, Ambient IP below 14.5C.
Event #4 (07Feb2022): Site 1137, Shipment ID 1742711:  This shipment included refrigerated and ambient drugs separated in two shipping boxes and shipped in one container.  Refrigerated IP was over 8.4C.
Event #5 (14Feb2022): Site 1137, Shipment ID 1743668:  This shipment included refrigerated and ambient IP separated in two shipping boxes and shipped in one container.  Ambient IP was below 14.5C.  
Event #6 (01Mar2022): Site 1158, Shipment ID 1745150:  This shipment included refrigerated and ambient drugs separated in two shipping boxes and shipped in one container.  Ambient IP was below 14.5C.  
Investigational Product (IP) ships with more than one temperature range.  Materials ship at 2-8C and 15-25C in separate boxes in  the same container.  The Pfizer Interactive Response Technology (IRT) system is only able to ship materials with one temperature range, and the carrier is only able to store material at one temperature range.  IP is packed into separate individual boxes based on their temperature ranges, then placed in one single container.  
Only one packing slip (invoice) is used for the study based on the contract with Marken, the shipping vendor.  As a result, the two separate boxes are combined into one container then shipped at the most restrictive temperature range, 2-8C.  
Some shipments did not incur temperature excursions (TEs).  It cannot be determined why some shipments that contained the mix of IP with the differing temperature ranges did not incur TEs.  There was a severe COVID-19 outbreak at Singapore Airlines which caused flight delays which likely contributed to non-adherence of shipping instructions.</t>
  </si>
  <si>
    <t>GCP_T2_Mar-2022_C4221015: IP Temperature Excursions_Marken_TWN</t>
  </si>
  <si>
    <t>Gap Analysis-A Gap Analysis was conducted.-An awareness notification was not required as no other studies were impacted.-Not Required</t>
  </si>
  <si>
    <t>Gap Analysis</t>
  </si>
  <si>
    <t>Weiting Weng</t>
  </si>
  <si>
    <t>SRP has raised the issues to SCL, SM &amp; SUPM timely and also shared the information &amp; instructions from SCL to Marken contact window in Taiwan but not yet received the resolution from Global Clinical Supply Chain.</t>
  </si>
  <si>
    <t>The SQE team along with the study team will determine if there is any impact to data and if the data will be used.</t>
  </si>
  <si>
    <t>Bailey, Caitlyn</t>
  </si>
  <si>
    <t>Product Protocol Number: 
C4221015
C4781001
B7471007
Involved Party / Country:
Vendor: C3i  / Global
The C3i User management tool (UMT) is the system where sites and users are created by C3i for Pfizer studies. The created sites and users are then transferred to InForm which is the system for users to log in to and perform data entry.  When a site is added or updated in UMT, a Site Worklist is generated. The normal process is for the Site Worklist to be processed automatically by the C3i Voyager system to add user details into InForm. If the C3i Voyager system is turned off for normal maintenance or is not processing automatically for some other reason, the worklist appears in the manual queue in UMT. For manual worklists, a C3i agent assigns the associated users to the Site in InForm by manually adding the users listed in the worklist ‘Associated User’ field into the site details in InForm.   
On 11-Feb-2022, the Lead Data Manager for study C4221015 reported via a UIMS ticket (#436852) that 27 users were incorrectly assigned to sites for therC4221015 study. The C3i Account Provisioning Team immediately determined that the 27 user accounts were correctly entered in the C3i UMT (User Management Tool) but that additional sites were assigned in InForm. During the investigation, it was discovered that the issue occurred for an additional 102 users on study C4221015. On 25-Feb-2022, the same issue was reported on study C4781001 where 105 users were found by the Study Team as incorrectly assigned under 2 sites. It was confirmed that the same C3i agent made the user assignment errors while adding users manually for the C4781001 and C4221015. It was determined that this C3i agent also performed user access assignment tasks for Pfizer studies B7471007 and C3671013 and a review was done immediately. During this review, it was confirmed that study B7471007 had 47 sites with incorrect user assignments and that C3671013 had no user access errors found.</t>
  </si>
  <si>
    <t>GCP_T2_Mar-2022_C4221015, C4781001,B7471007: InForm System Access Controls_C3i_Global</t>
  </si>
  <si>
    <t>Gap Analysis-A Gap Analysis was conducted.-The C3i Premiere Team ran the audit trial reports for all impacted users and there was no detection of any transactions performed by these users assigned to the incorrect sites.-Not Required</t>
  </si>
  <si>
    <t>IT Systems</t>
  </si>
  <si>
    <t>IT system security threat/compromise (inappropriate use/access, intrusion detection, mgmt/unintended release of non-subj info)</t>
  </si>
  <si>
    <t>Elena D`Angelo</t>
  </si>
  <si>
    <t>Users access on both studies was fixed within one business day from when the issue was detected. Study Teams and IM Team were informed. Audit trials reports were run on both studies and no incorrect activities were found under the sites assigned by mistake. Oracle tickets were opened to investigate on the root cause. As the root cause turned out to be a human mistake in the Account Provisioning Team C3i took the following actions:
1) the agent has been remediated and will no longer be assigned site worklists
2) site worklists will be processed within a dedicated team of 5 seniors who will be primarily responsible for this task going forward
3) a C3i internal Non-conformance is in progress for this event and they are working on a CAPA with their Compliance department</t>
  </si>
  <si>
    <t>Product Protocol Number: 
C4221015
Involved Party / Country:
Vendor: PPD / Global 
Awareness Date:
25-Mar-2022
Quality Event Description:
Following team discussions about the follow up required if Long term participants had to be reconsented after PA 4 and related ICDS were issued, it was noted the team had not followed CT05 Appendix 2 for previous revisions of the ICDs in error.
What Should Have Happened:
Per CT05-GSOP App 2, submissions in all countries/sites since study start of updated ICDs should have included a statement to let IRB/IECs know that patients in long term follow up were not going to be reconsented.
Why Did This Event Happen: 
Team members missed due to human error to request the rationale for not reconsenting long term follow up patients prior to submissions and ensuring a comment was added to alert IRB/IECs of this.
Immediate Actions Taken:
All start up and clinical PPD team were informed of this error and SOP shared with all to read and ensure to follow correct actions in future.
The issue was discussed with Pfizer SMs and for the recently issued ICDs with PA4 the following statement will be added to submission letters:
For ICDs included with this submission: Subjects in long term follow-up are not required to be re-consented with ICD version xxxx as there were no revisions/updates made to the safety text (eg, assessments, risks) in this current ICD, and these updates did not have significant relevance to participants in long-term follow-up. 
For previous ICDs included in previous submissions to date: Subjects in long term follow-up were not requested to be re-consented on previous ICD versions. This notification was missed to be included in previous communications in error.
CMCD Information:  
Start Date: 01-Jan-2021
End Date:  25-Mar-2022
Reason for Start/End Date: NA
CMCD Requirement Not Met: CT05 GSOP Appendix 2 was not followed: The study team submits the justification of their decision to the IRB/IEC for approval with the revised ICD or ICD addendum.
Instead of CMCD Requirement: The team will be compliant to the SOP requirement for future amended ICDs.
Historical Review: 
Protocol Search: There were no previous similar Quality Events identified for this Protocol upon review of quality database.
Assessment Comments: 
This quality event represents CMCD non-conformance. The CMCD that is referenced by the event reporter is: CT05-GSOP 8.0 Informed Consent Document 06-Dec-2021.
The submission indicates that revised ICDs, submitted in all countries/sites since study start, should have included a statement to let IRB/IECs know that participants in long term follow up were not going to be reconsented. It is noted that the PPD study start-up and clinical teams were made aware of the oversight and a submission letter will be sent that clarifies how participants in long term follow-up are not required to reconsent and notifies them of errors in the previous ICD revisions.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</si>
  <si>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GCP_T1_Mar-2022_C4221015: CMCD: Informed Consent Document_PPD_Global</t>
  </si>
  <si>
    <t>Mia Martins</t>
  </si>
  <si>
    <t>All start up and clinical PPD team were informed of this error and SOP shared with all to read and ensure to follow correct actions in future.
The issue was discussed with Pfizer SMs and for the recently issued ICDs with PA4 the following statement will be added to submission letters:
For ICDs included with this submission: Subjects in long term follow-up are not required to be re-consented with ICD version xxxx as there were no revisions/updates made to the safety text (eg, assessments, risks) in this current ICD, and these updates did not have significant relevance to participants in long-term follow-up. 
For previous ICDs included in previous submissions to date: Subjects in long term follow-up were not requested to be re-consented on previous  ICD versions. This notification was missed to be included in previous communications in error.</t>
  </si>
  <si>
    <t>Latten Jansen, Loes Maria</t>
  </si>
  <si>
    <t>Product Protocol Number: 
C4221015
Involved Party / Country:
Vendor:  / Netherlands 
Awareness Date:
20-Mar-2022
Quality Event Description:
BROK GCP certificates in the Netherlands have a 4 year expiry period.  Between 22-Dec-2017 and 16-Oct-2019, an SOP exception had been in existence to cover this issue which was then presumed superceded by CT33-GSOP-RF03 5.0 which removed the requirement for completion of GCP training every three years.  This has not resolved the issue though, as when (BROK) GCP certificates with completion date 3 but .
What Should Have Happened:
The CMCD exception that expired on 16-Oct-2019 should have remained in place for situations where BROK GCP certificates are between 3 and 4 years old.
Why Did This Event Happen: 
Misunderstanding of the impact of the CT33-GSOP-RF03 5.0.
Immediate Actions Taken:
None were required until a GCP certificate of between 3-4 years of age has been submitted to Firecrest.  The issue has now been raised again, Firecrest team are to be notified to accept the certificates, and this CMCD exception is being submitted to cover future occurrences.
CMCD Information:  
Start Date: 20-Mar-2022
End Date:  01-Jan-2030
Reason for Start/End Date: Date Firecrest rejection was notified is the start date.  End date is future point at which exception may be reassessed.  Issue is presumed to continue indefinitely at this time.
CMCD Requirement Not Met: GCP certificates of 3 years old but .
Instead of CMCD Requirement: GCP certificates of 3 years old, but .
Historical Review: 
PI Search: There were no previous Quality Events identified for 9the site related to this event) upon review of quality database.
Assessment Comments: 
This quality event represents CMCD non-conformance.  The CMCD that is referenced by the event reporter is: CT33-GSOP 4.0 Study Training 01-Jul-2020
For this CMCD QE, the past component occurred during the dates of 20-Mar-2022 to date of QE submission (29-Mar-2021), whereby start date represents date Firecrest rejection was notified.
The submission indicates that BROK GCP certificates in the Netherlands have a 4 year expiry period and between 22-Dec-2017 and 16-Oct-2019, had an SOP exception to cover this issue.  However when (BROK) GCP certificates with completion date 3 but . It is noted that CMCD exception that expired on 16-Oct-2019 should have remained in place for situations where BROK GCP certificates are between 3 and 4 years old, and a new CMCD exceptions has been submitted.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</si>
  <si>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GCP_T1_Mar-2022_C4221015: CMCD: GCP Certificate_Pfizer_NLD</t>
  </si>
  <si>
    <t>CT33-Study Training</t>
  </si>
  <si>
    <t>Valerie Jarvis-Evans</t>
  </si>
  <si>
    <t>None were required until a GCP certificate of between 3-4 years of age has been submitted to Firecrest.  The issue has now been raised again, Firecrest team are to be notified to accept the certificates by Beth Felicetti-Miller, and this CMCD exception is being submitted to cover future occurrences.</t>
  </si>
  <si>
    <t>Product Protocol Number: 
C4221015
Involved Party / Country:
Vendor: PPD / Denmark 
Awareness Date:
30-Mar-2022
Quality Event Description:
Investigator Initiation Package (IIP) was approved however for Sub-Investigator listed, Financial Disclosure form (FDF) was not properly collected. Investigator signed the Financial Disclosure Investigator Letter instead of FDF.
What Should Have Happened:
The Financial Disclosure form (FDF) should have been completed in Firecrest or TransCelerate form should have been collected prior to submitting the site package for IIP review.
Why Did This Event Happen: 
Reason is lack of knowledge from the team. IIP letter send to the site upon site selection include Financial Disclosure Investigator Letter as part as the documents. Following issue to get Financial disclosure completed in Firecrest by sub-Investigator, the team used the Financial Disclosure Investigator Letter provided with initial IIP letter instead of using TransCelerate form.
Immediate Actions Taken:
The issue was discovered before the activation of the site.
Action taken were:
- Correct form was resend to the sub-Investigator
- Sub-Investigator status was updated to "Inactive" in Siebel until proper documentation is provided
- Team was retrained
CMCD Information:  
Start Date: 11-Mar-2022
End Date:  30-Mar-2022
Reason for Start/End Date: NA
CMCD Requirement Not Met: Appropriate collection of Financial Disclosure form for 1 sub-Investigator prior submission of IIP for Approval. Issue occurred for 1 site. 
Instead of CMCD Requirement: The incorrect form was collected for the sub-Investigator but the site was not activated. Sub-Investigator has been updated as "Inactive" in Siebel and status will return to "Active" when appropriate FDF will be collected.
Historical Review: 
Vendor / Protocol Search: There were no previous similar Quality Events identified for the vendor in this Protocol upon review of the quality database.
Assessment Comments: 
This quality event represents CMCD non-conformance. The CMCD that is referenced by the event reporter is: INV02-INV04-WI-GL02 5.0 Managing Investigational Site Documents 03-May-2021.
This appears to be a first occurrence, isolated event for this protocol.  The submission indicates the Investigator Initiation Package (IIP) for one site was approved before one Sub-Investigator’s Financial Disclosure Form (FDF) was submitted; the site completed the incorrect form. It is noted that this error was detected before the site was activated and the Sub-I’s FDF will be collected before the site’s status is changed to active. The team has been retrained on the correct FDF completion and IIP approval processes.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</si>
  <si>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GCP_T1_Mar-2022_C4221015: CMCD: Investigator Initiation Package (IIP) Approval_PPD_DNK</t>
  </si>
  <si>
    <t>The issue was discovered before the activation of the site.
Action taken were:
- Correct form was resend to the sub-Investigator
- Sub-Investigator status was updated to "Inactive" in Siebel until proper documentation is provided
- Team was retrained</t>
  </si>
  <si>
    <t>Hamaguchi, Tetsuya</t>
  </si>
  <si>
    <t>Product Protocol Number:  
C4221015 
Involved Party / Country: 
PI: Hamaguchi, Tetsuya (Site Number: 1411) / Japan 
Vendor: PPD / Japan  
Awareness Date: 
08-Apr-2022 
Quality Event Description: 
Participant 14110001: for the initial consent, the consent was not recorded in the source documents (ICD nor electronic medical record) for the optional sample testing and additional research sample. The investigator and study coordinator had explained in detail to the participant regarding the optional sample testing and additional research sample, and although the participant consented in participation to the optional/additional research sample testing, and although there was a page on the site main ICD (site specific ICD) where the participant could record consent (via checkboxes) and sign the ICD, this page was left blank. Also, although the CRA made an on-site visit on 02-Dec-2021 for eligibility review and SDV/SDR, the CRA did not realize that the consent from the participant for the optional sample testing and additional research sample testing were not documented on the ICD nor electronic medical record. 
What Should Have Happened: 
The investigator should have obtained written consent from the participant regarding optional sample testing and additional research sample. 
Why Did This Event Happen:  
Reason why the investigator/study coordinator could not document consent: The investigator and study coordinator had given enough explanation to the participant regarding the optional sample testing and additional research sample and had received consent from the participant. However, both the investigator and study coordinators understanding was that when the participant signed the consent form, the participant was also giving consent to the optional sample testing and additional research sample testing, so the consent for the optional/additional research was not documented appropriately. This misunderstanding caused the investigator and study coordinator not realize that the optional sample testing and additional research sample testing consent document was included in another page of the ICD. 
Reason why the CRA could not find the issue earlier: Since only the signed pages of the ICD were available for the CRAs review during the SDV visit (since the participant had taken the rest of the document home, which included the blank informed consent forms for the additional/optional sample testing), although the CRA reviewed the ICD during the on-site visit, it was difficult to realize that the consent for the optional/additional research sample was not documented. Also, the CRA misunderstood that the main consent and optional consent for the end of treatment corresponded to the optional/additional research sample consent because the site specific ICD template was used, and the CRA was not familiar with the site template, which required a consent page for the optional sample testing and additional research sample test. 
Immediate Actions Taken: 
The participant was re-explained regarding the optional/additional research sample testing on 06-Apr-2022, and the participant agreed to the optional sample testing and additional research sample testing and gave written consent for these samples on the same day. The participant also showed no concern regarding the optional sample testing and additional research sample since the participant had already given consent to these tests at the time of initial consent and information regarding these tests have not changed since the participant received explanation during the initial consent process. The site (PI/SI, study coordinators) and CRA was re-trained on the necessary documentation necessary when obtaining consent. 
Historical Review:  
PI Search: There were no previous Quality Events identified for this PI upon review of quality database.
Protocol/Vendor Search: There were no previous similar Quality Events identified for this Vendor in this protocol upon review of quality database. 
Assessment Comments:  
This appears to be a first occurrence, isolated event for this PI involving a single participant. The submission indicates that written consent for one participant was not recorded in the source documents for the optional sample testing and additional research sample part of the initial ICD. The PI and SC explained verbally in detail to the participant, and while the participant consented, this page was left blank. The CRA did not catch this error during an onsite visit in 02-Dec-2021. It is noted that the participant agreed to the optional sample testing and additional research sample testing and gave written consent for these samples on 06-Apr-2022. The site and CRA were re-trained on the necessary documentation necessary when obtaining consent.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</si>
  <si>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GCP_T1_Apr-2022_C4221015: Informed Consent Process; Sample Collection_Hamaguchi, Tetsuya; PPD_JPN</t>
  </si>
  <si>
    <t>Informed Consent, Quality Procedures</t>
  </si>
  <si>
    <t>Inadequate consent process at the investigator site, Requirement/process not met</t>
  </si>
  <si>
    <t>CT05-Informed Consent Document, INV04-Investigational Site Management and Monitoring</t>
  </si>
  <si>
    <t>Kiyoka Yasuda</t>
  </si>
  <si>
    <t>-The subject was re-explained regarding the optional/additional research sample testing on 6Apr2022, and the subject agreed to the optional sample testing and additional research sample testing and gave written consent for these samples on the same day. The subject also showed no concern regarding the optional sample testing and additional research sample since the subject had already given consent to these tests at the time of initial consent and information regarding these tests have not changed since the subject received explanation during the initial consent process.
The site (PI/SI, study coordinators) and CRA was re-trained on the necessary documentation necessary when obtaining consent.</t>
  </si>
  <si>
    <t>Patil, Tushar Vishvasrao Vishvasrao</t>
  </si>
  <si>
    <t>Product Protocol Number:  
C4221015 
Involved Party / Country: 
PI: Patil, Tushar Vishvasrao Vishvasrao (Site Number: 1300) / India 
Awareness Date: 
25-Apr-2022 
Quality Event Description: 
Site 1300 submitted a document with a participant’s initial not redacted during submission of the Participant Eligibility Form (PEF) on the electronic Protocol Inquiry Platform (ePIP). 
What Should Have Happened: 
The participant’s initial should have be redacted when the document was sent to sponsor or CRO. 
Why Did This Event Happen:  
Human error of the study coordinator. 
Immediate Actions Taken: 
The document with the participant’s initial was rejected and deleted in the ePIP system. CRA will re-train site regarding participant confidentiality. 
Historical Review:  
PI Search: There was 1 previous Quality Event identified for this PI upon review of quality database.
PR 2183924_GCP_T1_Feb-2021_B7461030: CMCD: SAE Reporting_Patil, Tushar Vishvasrao_IND
Assessment Comments:  
The submission indicates that the study coordinator at site 1300 submitted the Participant Eligibility Form (PEF) with a participant’s initials included on the electronic Protocol Inquiry Platform. This is contrary to Pfizer policy (Corporate Policy 404- Protecting the Privacy of Personal Data) and the duty to protect participant confidentiality. It is noted that the PEF with the participant’s initial was rejected and deleted in the ePIP system, and the site will be re-trained regarding participant confidentiality. The site should evaluate whether the event must be reported to their IRB/EC. These remediation actions should minimize potential impact to participant confidentiality.  There is no indication in the submission of significant adverse impact to study participants or study data, due to this event. The event appears to be appropriate for the monitor/study team to continue to manage.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</si>
  <si>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GCP_T1_Apr-2022_C4221015: Participant Confidentiality_Patil, Tushar Vishvasrao_IND</t>
  </si>
  <si>
    <t>CP404</t>
  </si>
  <si>
    <t>the document with subject initial was rejected and deleted in the ePIP system. CRA will re-train site of subject confidentiality.</t>
  </si>
  <si>
    <t>Product Protocol Number:  
C4221015 
Involved Party / Country: 
PI: Hamaguchi, Tetsuya (Site Number: 1411) / Japan 
Vendor: PPD / Japan  
Awareness Date: 
26-Apr-2022 
Quality Event Description: 
There was a re-consent error for participant 14111001, where the wrong consent documentation was used. (wrong consent documentation details: the incorrect consent form was used to obtain re-consent).
Wrong consent information: there are 3 informed consent forms included in the document (main consent, optional consent for end of treatment biopsy, optional consent for additional research). However, there was a printing error at the printing vendor (the optional consent for end of treatment biopsy was printed in duplicate in place of the main consent form. The rest of the informed consent documentation was printed correctly.) However, the remote site monitor sent the ICD to the site without confirming whether the document was printed adequately. Reconsent for ICD v4 was obtained from participant 14111001 but the main consent form was not signed (it was however recorded on the electronic medical record that the ICD v4 information was explained to the participant and consent was obtained.) 
The remote site monitor, CRA, document printing vendor and site could not notice that there was an error in the document. This particular event was a first time occurrence for this site and for this protocol. 
Background: 28-Mar-2022: verbal consent was obtained for ICD v4 (amendment details: ICD update only due to law amendment for use of personal data consent. Similar details regarding the law amendment details were already included in the previous ICD, and the participant had received explanation and given consent to personal data use. Therefore, it was not necessary to reconsent active participants due to the law amendment, but due to the PI's decision at this site, reconsent for active participants was decided to be obtained. Therefore, the amendment details did not affect the participants safety or procedures in the study, and neither did it affect the participants personal data use. 
04-Apr-2022: PPDSNBL staff (remote site monitor) received the ICD from the printing company and sent the printed ICD to the site. At this point, the remote site monitor did not realize there was a printing error in the ICD. 
06-Apr-2022: Amendment details for ICD v4 was explained to the participant by the investigator and study coordinator and written consent was obtained but due to the ICD document error, there were 2 pages of the consent form for optional consent for end of treatment biopsy, and the main consent page was missing. Therefore, the site staff and participant thought that the main consent was formed but the optional consent for end of treatment biopsy consent form was signed instead. The record that consent was obtained for the main ICD was recorded in the electronic medical record by the investigator. 
14-Apr-2022: The CRA visited the site onsite but could not realize that there was an error in the ICD because 3 pages of the consent form was filed so the CRA thought that one of the optional consent for end of treatment biopsy ICDs was the consent form for the main ICD. 
26-Apr-2022: The study coordinator was double checking the ICD v4 details since the next version of the ICD (v5, which includes amendment points for protocol amendment 4) was planned to be approved by the IRB soon, and the study coordinator was comparing changes from ICD v4 to v5. When double checking the details, the error in ICD v4 was confirmed by the study coordinator, who then contacted the CRA. 
What Should Have Happened: 
The correct documentation of the ICD should have been sent to the site. The remote site monitor should have confirmed the documentation received from the printing vendor before sending the document to the site. The CRA should have confirmed that the correct ICD documentation was sent to the site. The investigators and study coordinator should have confirmed the ICD documentation details before receiving consent from the participant. 
Why Did This Event Happen:  
1.There was a printing error in the ICD documentation. Root cause: The printing vendor made a printing mistake. The carbon copy informed consent forms were filed into the consent documentation, but the printing vendor accidentally filed the optional consent for end of treatment biopsy page twice, and did not file the consent form for the main consent. The printing vendor could not realize that they printed the document incorrectly since there was an error in the re-confirmation procedure at the vendor. This is the first time occurrence that the printing vendor made a printing error. 
2. Error in the consent document confirmation process: The remote site monitor and site staff could not realize that there was an error in the ICD documentation before receiving consent from the participant. This was the first time occurrence that the wrong ICD form was printed. 
Root cause: the remote site monitor/CRA did not confirm the details of the ICD documentation before sending to the site.
3. Error in the consent process: there was a problem with the sites consent confirmation process. 
Root cause: The site only confirmed the location in which the informed consent forms were filed in the ICD, and since usually, the ICD is printed in the order of main ICD, EOT optional biopsy ICD, optional research ICD, the site could not realize that the EOT optional biopsy ICD was printed twice in place of the main ICD. The site also explained the document details to the participant, but did not confirm the details on the ICD form itself before receiving re-consent from the participant. 
4.  (Reason why the CRA could not notice the error in the ICD) Problem with SDR procedure
Root cause: There were 3 signed informed consent forms, so the CRA thought that these forms were for the main, EOT optional biopsy, and optional sample testing. The CRA did not confirm the printed details on each of the ICD forms. 
Immediate Actions Taken: 
Corrective action: 
- Participant 14111001 will be re-consented with the correct ICD documentation during the next visit (planned for 10-May-2022)
-The background will be recorded on the source documents by the investigator
-The CRA will re-confirm the sites ICD template
-The amendment ICD (ICD v5) has been approved by the IRB, so ICD v5 has already been sent to the site. (it was confirmed that there were no errors with ICD v5) 
-The site resent ICDv4 documents back to the CRA, so there are no documents with errors stored in the site at the moment. 
Preventive action:
For site: 
-The PI will train the SI/CRC regarding the sites ICD template
-The CRA will give the site staff retraining regarding the consent process 
- The site will receive consent from the participant after confirming the details of the informed consent form. 
Note: the previous QE date of awareness was 09-Apr-2022, and this QE occurred on 06-Apr-2022. Therefore, the site has been making preventive measures after 09-Apr-2022 regarding the consent process, and it was confirmed that no consent errors have occurred after 09-Apr-2022. 
For CRA/remote site monitor:
-The ICD documentation received from the printing vendor will be double checked before sending to site. The remote site monitor will QC all documents before sending them to sites. 
-The CRA and remote site monitors will be trained via an internal workshop to improve monitoring activities by going over potential study risks and discussing mitigation plans to avoid quality events from occurring. 
Historical Review:  
PI Search: There was 1 previous Quality Event identified for this PI upon review of quality database. *1 being the same occurrence.
*PR 2205993_GCP_T1_Apr-2022_C4221015: Informed Consent Process; Sample Collection_Hamaguchi, Tetsuya; PPD_JPN
Protocol/Vendor Search: There was 1 previous similar Quality Events identified for this Vendor in this protocol upon review of quality database. *1 being the same occurrence.
*PR 2205993_GCP_T1_Apr-2022_C4221015: Informed Consent Process; Sample Collection_Hamaguchi, Tetsuya; PPD_JPN
Assessment Comments:  
This appears to be a first occurrence, isolated event for this PI involving a single participant, and additional information to the previous QE submitted, PR 2205993. The submission indicates that the incorrect consent form was used to obtain re-consent for participant 14111001 due to a printing error at the printing vendor (the optional consent for end of treatment biopsy was duplicated in place of the main consent form), and monitor/site oversight. The remote site monitor, CRA, and site did not notice the Main ICD v4 was missing, and therefore, was not signed by the participant. The submitter indicates that the participant will be re-consented with the correct ICD during the next visit, 10-May-2022. It is noted that the study team has taken preventative actions to reduce the impact of this issue including the corrected ICD v4 being stored, PI and CRA to re-train the site regarding the ICD process, all ICD documentation received from the printing vendor will be double checked before sending to the site and QC’d by the site monitor, and CRA/remote site monitors will be re-trained to improve monitoring activities by going over potential study risks and discussing mitigation plans to avoid future quality events from occurring.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</si>
  <si>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GCP_T1_Apr-2022_C4221015: Informed Consent Process_Hamaguchi, Tetsuya, PPD_JPN</t>
  </si>
  <si>
    <t>Corrective action: 
-Subject 14111001 will be re-consented with the correct ICD documentation during the next visit (planned for 10May2022)
-The background will be recorded on the source documents by the investigator
-The CRA will re-confirm the sites ICD template
-The amendment ICD (ICD v5) has been approved by the IRB, so ICD v5 has already been sent to the site. (it was confirmed that there were no errors with ICD v5) 
-The site resent ICDv4 documents back to the CRA, so there are no documents with errors stored in the site at the moment. 
Preventive action:
For site: 
-The PI will train the SI/CRC regarding the sites ICD template
-The CRA will give the site staff retraining regarding the consent process 
- The site will receive consent from the subject after confirming the details of the informed consent form. 
Note: the previous QE date of awareness was 9Apr2022, and this QE occurred on 6Apr2022. Therefore, the site has been making preventive measures after 9Apr2022 regarding the consent process, and it was confirmed that no consent errors have occurred after 9Apr2022. 
For CRA/remote site monitor:
-The ICD documentation received from the printing vendor will be double checked before sending to site. The remote site monitor will QC all documents before sending them to sites. 
-The CRA and remote site monitors will be trained via an internal workshop to improve monitoring activities by going over potential study risks and discussing mitigation plans to avoid quality events from occurring.</t>
  </si>
  <si>
    <t>Product Protocol Number:  
C4221015
Involved Party / Country: 
PI: Hamaguchi, Tetsuya (Site Number: 1411) / Japan 
Awareness Date: 
28-Apr-2022 
Quality Event Description: 
Summary of event:
-The initial SAE report (event: COVID infection, report date: 19-Mar-2022) was supposed to be deliberated by the IRB in Apr 2022, but was not deliberated.
-The study coordinator had submitted the SAE report in a timely manner to the clinical trial secretariat, and the remote site monitor was aware that the SAE report had been submitted at the site.
-For the SAE report to be deliberated by the IRB, per site rule, a CD-R with the PDF copy of the SAE report had to be submitted to the IRB, but no one was aware that the CD-R had to be submitted, and per site SOP, the responsible person (ie. PI, CRC or monitor) was not clarified. 
-The remote site monitor had confirmed with the clinical trial secretariat in advance regarding the IRB submission details for Apr 2022 before submitting the CD-R for IRB deliberation. At this point, the clinical trial secretariat did not point out that the CD-R for the SAE report was missing, nor was the remote site monitor informed that the CD-R for the SAE report had not been submitted to the clinical trial secretariat yet. 
-The PIs opinion regarding this issue will be confirmed at the PIs earliest convenience.
-Effect on participant safety: The SAE event (COVID infection) has resolved as of 28-Mar-2022, and the participant is continuing with the study treatment at the moment.
-There were no safety concerns related to the participant due to this event. Also, the SAE report itself was submitted within 24 hrs to Pfizer and reported to the regulatory within the required timeline. Background: 
-19-Mar-2022: initial SAE report (COVID19 infection) was issued
-19-Mar-2022: The study coordinator submitted the SAE form (local form 12), which the PI had made, to the clinical trial secretariat. The IRB deliberation for Apr 2022 was conducted but the SAE report was not deliberated during this IRB. 
-19-Apr-2022: After the IRB deliberation the clinical trial secretariat contacted the remote site monitor as to when the SAE report should be deliberated at the IRB. The remote site monitor confirmed that the SAE report was not deliberated at the IRB in April. 
What Should Have Happened: 
The CD-R for IRB deliberation should have been submitted with the SAE report either by the study coordinator or the remote site monitor. 
Why Did This Event Happen:  
-The study coordinator had submitted the SAE report to the clinical trial secretariat, so the remote site monitor thought that there were no further actions necessary for the SAE report to be deliberated by the IRB.
-The RandR between the study coordinator and remote site monitor was not clear. 
Immediate Actions Taken: 
Corrective action: 
-The applicable SAE report has asked to be deliberated by the IRB in May 2022
- Other SAE reports (1.COVID19 infection follow up report, report date: 28-Mar-2022, 2. Catheter infection, report date: 16Apr2022) were originally planned to be deliberated in the IRB in May 2022, so it was confirmed that there were no IRB deliberation delays for other SAE reports. 
Preventive action: 
- The responsible person to submit future CD-Rs for SAE reports to the clinical trial secretariat will be discussed and decided between the CRA, study coordinator and PI. 
-The remote site monitor will confirm all IRB deliberation cases to the clinical trial secretariat every month. 
Historical Review:  
PI Search: There were 2 previous Quality Events identified for this PI upon review of quality database. 
PR 2206859_GCP_T1_Apr-2022_C4221015: Informed Consent Process_Hamaguchi, Tetsuya, PPD_JPN
PR 2205993_GCP_T1_Apr-2022_C4221015: Informed Consent Process; Sample Collection_Hamaguchi, Tetsuya; PPD_JPN 
Assessment Comments:  
Based on eForm entries, there was no system set auto-threshold for this event. The submission indicates the CD-R was not submitted with the SAE report per site SOP, therefore the SAE report was not deliberated by the IRB at the April meeting. It is noted that the SAE report will be deliberated by the IRB in May 2022. Preventative action has also been taken by the study team including the responsible person to submit future to be decided between the CRA, study coordinator and PI, and remote site monitor will confirm all IRB deliberation cases to the clinical trial secretariat every month.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</si>
  <si>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GCP_T1_Apr-2022_C4221015: CD-R Submission_Hamaguchi, Tetsuya_JPN</t>
  </si>
  <si>
    <t>Corrective action: 
-The applicable SAE report has asked to be deliberated by the IRB in May 2022
-Other SAE reports (1.COVID19 infection follow up report, report date: 28Mar2022, 2. Catheter infection, report date: 16Apr2022) were originally planned to be deliberated in the IRB in May 2022, so it was confirmed that there were no IRB deliberation delays for other SAE reports. 
Preventive action: 
-The responsible person to submit future CD-Rs for SAE reports to the clinical trial secretariat will be discussed and decided between the CRA, study coordinator and PI. 
-The remote site monitor will confirm all IRB deliberation cases to the clinical trial secretariat every month.</t>
  </si>
  <si>
    <t>Product Protocol Number: 
C4221015
Involved Party / Country:
Vendor: JMAC Partners / Spain 
Awareness Date:
16-May-2022
Quality Event Description:
Informed Consent Document (ICD) provided to site is the v 1.0, and what is applicable is v.2.0. developed July 2021 to remove Privacy Shield which is no longer applicable.  This subcontractor didn't know about ICD versions in force. EC approval was obtained in Dec 2021. Version 2.0 of the ICD was not sent because JMAC had not received notice that this version received EC approval.  No instructions were provided to site about how to manage the participant information (encrypted, protected, etc..). As a result of previous significant quality event (SQE) (PR 2196100) the action plan agreed was that the site must be instructed about all information sent to JMAC which has to be encrypted and protected. Local vendor sub-contracted by JMAC is requesting the main blank ICD to site staff; however this information must be provided by JMAC or Study team, not by Site staff. The main ICD contains confidential information about study and drugs.
What Should Have Happened:
Local vendor must provide current version of JMAC ICD to site staff. - Site must be instructed about all information sent to JMAC which has to be encrypted and protected. Main ICD should be provided by JMAC or Study team, not by Site staff.
Why Did This Event Happen: 
Remediation actions were taken before any issue occurred.
Immediate Actions Taken:
Site Relationship Partner (SR)P sent the current version of JMAC ICD to site staff on 13-May-2022.  SRP instructed to site staff about all information sent to JMAC which has to be encrypted and protected, and  SRP sent an extract of the study ICD about participants reimbursement and that there aren't restrictions on payments for travel.
CMCD Information:  
Start Date: 04-May-2022
End Date:  19-May-2022
Reason for Start/End Date: NA
CMCD Requirement Not Met: Personal Data privacy
Instead of CMCD Requirement: No instructions were provided to site about how to manage the participant information (encrypted, protected, etc..). Old version of ICD was provided to site by local vendor.  Local vendor sub-contracted by JMAC is requesting the main blank ICD to site staff. This information must be provided by JMAC or Study team, not by Site staff
Historical Review: 
Protocol Search: There were no previous similar Quality Events identified for this Protocol upon review of quality database.
Vendor Search: There is 1 previous similar Quality Events identified for this Vendor upon review of quality database.
PR 2196100_GCP_T2_Oct-2021_Participant Confidentiality and Data Privacy_JMAC Partners_Global_mdgroup_Global
[On 14-Oct-2021, a Pfizer Spain Country Trial Manager (CTM) submitted this Significant Quality Event (SQE) which indicated study participants' Personal Data (PD) and Sensitive PD (SPD) was being transferred by site personnel in Pfizer sponsored studies to JMAC (Pfizer study participant travel vendor) by e-mail without encryption or other security measures required for the transfer PD or SPD.  This was discovered by the Pfizer Site Excellence Partners (SEPs) during interviews with sites in Spain.  During the course of the SQE investigation, it was identified that similar issues were occurring with mdgroup, another vendor who managed study participant travel for Pfizer studies.
Issue # 1:  From May 2020 to December 2021, Personal Data (PD) and Sensitive PD (SPD) of study participants was transferred, by unsecured email, to and from JMAC (Pfizer study participant travel and reimbursement vendor) among study participants; caregivers and site personnel for 16 Pfizer-sponsored studies without required encryption or other security measures.  These studies were: B0661037; B1791094; B5381012; B7841005; C0251008; C1071005; C1071009; C3391001; C3391002; C3391003; C3731003; C4181005; C4221015; C4471001; C4221015; and C4471001.
Issue #2:  On 26-Nov-2021, the Pfizer Spain Site Relationship Partner (SRP) sent an email to the Quality Event Investigation Lead (QEIL) for Significant Quality Event (SQE) PR2196100, reporting that mdgroup, who managed study participant travel for the C3441022 study, had received a study participant’s Personal Data (PD) via an unencrypted email from a site in Spain.  Currently, only Pfizer study C4221022, which was contracted through Pfizer, was ongoing.  However, there were 8 Pfizer studies where mdgroup would be contracted through Syneos.  They were: A3921165; A5481092; C1071003; C1071005; C3441021; C3441052; C3661001; and C4161001.]
Assessment Comments: 
This quality event represents CMCD non-conformance.  The CMCD that is referenced by the event reporter is: REG09-POL 3.0 Protecting the Privacy of Personal Information 15-Dec-2017 and Personal Data Privacy
The submission indicates that following PR 2196100 the action plan agreed was that the site must be instructed about all participant information sent to JMAC which has to be encrypted and protected. However, in this study, it was identified that the incorrect version of ICD was sent to the site thus no instructions were provided to site about how to manage the participant information (encrypted, protected, etc..), and the subcontracted vendor requested the site provide Main ICD which is incorrect process.  It is noted that actions were taken to remediate including that the SRP sent the current version of JMAC ICD to site staff on 13-May-2022 and  instructed the site staff about all information sent to JMAC which has to be encrypted and protected.  Additionally, the SRP sent an extract of the study ICD regarding  participant reimbursement and noting there are not restrictions on payments for travel. With these actions taken, the submission additionally indicates that these remediation actions were taken before any issue occurred.  There is no indication in the submission of significant adverse impact to study participants or study data, due to this event, and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</si>
  <si>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GCP_T1_May-2022_C4221015: CMCD: Informed Consent Document_JMAC Partners_ESP</t>
  </si>
  <si>
    <t>Laura González Fuente</t>
  </si>
  <si>
    <t>- SRP sent the current of JMAC ICD to site staff on 13May
- SRP instructed to site staff about all information sent to JMAC have to be encrypted and protected
- SRP sent an extract of the study ICD about patient reimbursement and there aren't restrictions on payments for travel</t>
  </si>
  <si>
    <t>Product Protocol Number: 
C4221015
Involved Party / Country:
Vendor: PPD / Finland
Awareness Date:
20-May-2022
Quality Event Description:
The first participant enrolled at site 1366 was put at risk not receiving treatment due to missing IP at site.
On 29 April 22 CTM gave the ok for site 1366 to be activated because a potential participant was available with critical health situation that needed immediate treatment.
All the main tasks mandatory for activation were completed, but IP was not yet available at the Country Depot in Finland.
Due to a misunderstanding in communication CTM thought the Sponsor was agreeing since IP was planned to be shipped in the following 7 days in time for participant to be treated. 
CTM wrongly interpreted the communication where the Sponsor was asking to wait some more to understand when the IP would have been really shipped.
Site was activated, participant started screening, IP had delays with shipments and participant was at risk not receiving IP on time.
IP arrived at site on 16th May. Participant 13661001 was treated as planned on 17th May for C1D1.
What Should Have Happened:
Site should have been activated when it was clear the IP was on its way to arrive to the site.
Why Did This Event Happen: 
1) Misunderstanding about Sponsor's instructions due to rush related to participant’s critical health status.
2) IIP approval obtained on 7th April. IP should have been available at site soon after IIP pack was approved.
Immediate Actions Taken:
1) Both PPD and Pfizer team collaborated daily to have the IP onsite in time for C1D1.
2) CTM will not activate any other site until IP will be clearly on its way to reach the site.
Historical Review: 
Vendor / Protocol Search: There were no previous similar Quality Events identified for the vendor in this Protocol upon review of the quality database.
Assessment Comments: 
This appears to be a first occurrence, isolated event for this protocol. The submission indicates the site was IIP approved, was activated and had a participant enrolled, prior to having IP supply onsite. This issue resulted in the site not having IP available for the participant’s C1D1 visit. It is noted that the site did receive their IP supply and the participant was able to be dosed on 17-May-2022 for their C1D1 visit. Going forward, the vendor will not activate sites until it is confirmed that IP supply will be received at site in a timely manner.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</si>
  <si>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GCP_T1_May-2022_C4221015: Site Activation; IP Supply_PPD_FIN</t>
  </si>
  <si>
    <t>1) Both PPD and Pfizer team collaborated daily to have the IP onsite in time for C1D1
2) CTM will not activate any other site untill IP will be claerly on its way to reach the site</t>
  </si>
  <si>
    <t>Maiello, Evaristo</t>
  </si>
  <si>
    <t>Product Protocol Number: 
C4221015
Involved Party / Country:
PI: Maiello, Evaristo (Site Number: 1253) / Italy
Vendor: PPD / Italy
Awareness Date:
18-May-2022
Quality Event Description:
Oxaliplatin expiring at the end of May at site 1253-Italy was returned for destruction on 11May22 and was not set up in IMPALA as "unavailable for dispensing" and site staff dispensed a kit that was no longer available at site and had issues with assignment.
What Should Have Happened:
Supply Chain Lead should have been informed in advance about IP return at site 1253 to complete a Data Change Form and mark IP as unavailable since 11May.
Why Did This Event Happen: 
CTM missed to communicate the date of IP return to Supply Chain Lead.
There is no automatic notification/communication so that the IP is not automatically set up as "unavailable" after IP return.
Immediate Actions Taken:
Participant was dispensed with kit as unscheduled visit.
CTM reminded CRA to notify her with the exact date of IP return to inform Supply Lead Chain in advance.
CTM asked Pfizer Study Manager if possible to put in cc IMPALA Team when docs for IP shipments are sent to the destruction vendor so that IMPALA Team can take action immediately and mark the kits as "unavailable".
Historical Review: 
Vendor / Protocol Search: There were no previous similar Quality Events identified for the vendor in this Protocol upon review of the quality database.
PI Search:  There were no previous Quality Events identified for this PI upon review of the quality database.
Assessment Comments: 
The submission indicates that the site attempted to dispense IP to one participant via IMPALA but were unable to as the IP that had been returned was not marked as ‘unavailable for dispensing’. This event occurred as the Supply Chain Lead (SCL) was not informed that IP was returned and so the IP was not changed to unavailable in IMPALA. It is noted that the site was able to dispense IP to the participant at an unplanned visit. The CTM has advised the CRA to inform her with IP return dates in order to update the SCL and the SM has been asked if communication process can be revised to keep IMPALA team informed when IP kits should be made unavailable.  There is no indication in the submission of significant adverse impact to study participants or study data, due to this event.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</si>
  <si>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GCP_T1_May-2022_C4221015: Medication Error; IP Supply Management_Maiello, Evaristo; PPD_ITA</t>
  </si>
  <si>
    <t>Patient was dispensed with kit as unscheduled visit.
CTM reminded CRA to notify her with the exact date of IP return to inform Supply Lead Chain in advance.
CTM asked Pfizer Study Manager if possible to put in cc IMPALA Team when docs for IP shipments are sent to the destruction vendor so that IMPALA Team can take action immediately and mark the kits as "unavailable".</t>
  </si>
  <si>
    <t>Schou, Jakob Vasehus</t>
  </si>
  <si>
    <t>Product Protocol Number: 
C4221015
Involved Party / Country:
Vendor: PPD / Denmark 
Awareness Date:
20-May-2022
Quality Event Description:
Site 1307, Denmark. 
An incorrect Investigational Medicinal Product (IMP) Supply Contact and Shipping Address was provided on IP13-GSOP-RF01 7.0 Investigational Medicinal Product Shipment Address Form 15-Oct-2021.  The site personnel who signed the form on 23Mar2022 did not notice and subsequently this address was entered into CSDS.  The sites initial shipment therefore went to the wrong site, arriving at site 1344.  The site alerted the PPD clinical team.
What Should Have Happened:
IP should have been shipped to the correct site, 1307.
Why Did This Event Happen: 
The site were provided with a form with another site’s details populated.  Neither PPD nor the site noticed the error.
Immediate Actions Taken:
The issue was escalated to the Pfizer Study Manager and Pfizer Supply Chain Lead on 19May2022. The SCL advised that we should ask site 1344 if they would be happy to keep the additional IP and he would raise a new shipment for 1307.  
A correct copy of IP13-GSOP-RF01 7.0 Investigational Medicinal Product Shipment Address Form 15-Oct-2021 was collected and a DCR submitted to IMPALA to update the site shipping address. 
The SCL will raise a new shipment for site 1307 today, 20May2022.  
Site 1344 have agreed to keep the IP received in error.  They confirmed that it has been stored correctly since received.  IMPALA will be updated to transfer the kits to their site inventory. 
Site 1307 have not screened any participants; there is no participant impact from this delay to IP.
CMCD Information:  
Start Date: 23-Mar-2022
End Date:  19-May-2022
Reason for Start/End Date: NA
CMCD Requirement Not Met: 'The site details are added to the distribution system for clinical supplies using the completed IP13-GSOP-RF01 Investigational Medicinal Product Shipment Address Form'.
Instead of CMCD Requirement: This was done, but the site details were incorrect.
Historical Review: 
Protocol Search: There were no previous similar Quality Events identified for this Protocol upon review of quality database.
Assessment Comments: 
This quality event represents CMCD non-conformance. The CMCD that is referenced by the event reporter is: IP13-GSOP 4.0 Investigational Medicinal Product 01-May-2020.
This appears to be a first occurrence, isolated event for this protocol. The submission indicates that an incorrect address was pre-populated on one site’s Investigational Medicinal Product (IMP) Supply Contact and Shipping Address. This error was undetected, the incorrect address was recorded in CSDS and resulted in the site’s initial shipment being sent to the wrong site. It is noted that the site in receipt of the shipment notified the study team. The site’s address has been corrected in CSDS and a new IP shipment will be sent to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</si>
  <si>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GCP_T1_May-2022_C4221015: CMCD: IP Shipment Address_PPD_DNK</t>
  </si>
  <si>
    <t>Nicola Aitken</t>
  </si>
  <si>
    <t>The issue was escalated to the Pfizer Study Manager Wendy Kuko and Pfizer Supply Chain Lead Mark Ventura on 19May2022. Mark advised that we should ask site 1344 if they would be happy to keep the additional IP and he would raise a new shipment for 1307.  
A correct copy of IP13-GSOP-RF01 7.0 Investigational Medicinal Product Shipment Address Form 15-Oct-2021 was collected and a DCR submitted to IMPALA to update the site shipping address. 
Mark Ventura will raise a new shipment for site 1307 today, 20May2022.  
Site 1344 have agreed to keep the IP received in error.  They confirmed that it has been stored correctly since received.  IMPALA will be updated to transfer the kits to their site inventory. 
Site 1307 have not screened any patients; there is no patient impact from this delay to IP.</t>
  </si>
  <si>
    <t>Masuishi, Toshiki</t>
  </si>
  <si>
    <t>Product Protocol Number: 
C4221015
Involved Party / Country:
PI: Masuishi, Toshiki (Site Number: 1383) / Japan
Awareness Date:
09-Jun-2022
Quality Event Description:
Participant 13831002 was treated for 3 days with a concomitant drug (moderate CYP3A4 inhibitor, aprepitant) requiring dose reduction of the investigational product when used concomitantly, but the IP dose was not reduced.
-Background, 
-19May2022-21May2022: Participant 13831002 was prescribed and treated with aprepitant for 3 days to improve symptoms of nausea, but did not take IP at a reduced dose. This corresponds to an overdose outside the protocol dosing regimen. (protocol amend 3, section 6.5.1.2).
[Dosing information redacted.] Investigational products which were concomitantly administered with IP per study design) were originally temporarily withdrawn due to another AE (cetuximab: paronychia, oxaliplatin: hand-foot syndrome). No other new AEs were observed.
-27May2022: During the onsite visit, the CRA noticed that the IP dose was not reduced when aprepitant was administered and pointed this out to the PI/CRC. At this time, it had not been decided at the study level whether this corresponded to a protocol deviation, and since the protocol wording was that the IP dose should be reduced, the investigator thought that the dose reduction was recommended, but not mandatory. Therefore, during the period between 19May2022-21May2022 when aprepitant and IP were concomitantly administered, the investigator had determined that IP dose reduction was not necessary.
-2Jun2022: ECG was taken for the C5D1 visit, and as a result, there was QT prolongation (453msec, grade 1) 
Note: On 7Apr2022, ECG measurement taken for C3D1 showed grade 1 QT prolongation (460 msec), but the investigational product was not reduced nor temporarily withdrawn because the AE grade (grade 1) did not meet the dose modification criteria set by the protocol. On the other hand, this was the second time grade 1 QT prolongation was measured (first time: 7Apr2022, C3D1 visit, second time: 2Jun2022, C5D1 visit) and since the investigator was aware that there is a potential risk of QT prolongation due to IP, IP was temporarily withdrawn under the investigator’s decision on 2Jun2022, taking into consideration the safety of the participant. 
-9Jun2022: ECG was performed as an unplanned visit, and the results were normal (QT result: 444 msec), so IP was resumed under the investigator’s decision (IP dose was not reduced.)
In the investigator's opinion, QT prolongation may have been caused by not reducing the dose of IP when taking concomitantly with aprepitant, but QT prolongation itself was a finding that had been seen from previous visits before aprepitant was administered (e.g. C3D1, 7Apr2022).
Per investigator’s opinion, the participant's condition did not worsen (the grade 1 QT prolongation AE also resolved ) even though IP was temporarily withdrawn for a week, so there were no major safety concerns due to the co-administration of aprepitant and IP without dose reduction and temporary withdrawal of IP.
-9Jun2022: The study medical monitor confirmed that taking aprepitant without reducing the IP dose corresponds to a protocol deviation, and it was decided that this QE report will be submitted since this corresponds to an overdose outside the protocol dosing regimen. 
Previous QT prolongation results:
Screening (4Feb2022): 408, 414, 416 msec (measured 3 times, per protocol setting)
C1D1 (9Feb2022): 406 msec
C2D1 (10Mar2022): 448 msec
C3D1 (7Apr2022): 460 msec (CTCAE Grade 1) 
C4D1 (6May2022): 449 msec
C5D1 (2Jun2022): 453 msec (CTCAE Grade 1) 
Unplanned (9Jun2022): 444 msec 
Reference: CTCAE- Grade 1 AE with QT prolongation 450-470 msec 
19May2022-21May2022: aprepitant administered, no IP dose reduction
Investigator’s decision for QT prolongation and IP temporary withdrawal: The investigator did not temporarily withdraw IP administration due to grade 1 QT prolongation on 7Apr2022, and although the QT result recovered to 449 msec on the next cycle, the ECG on 2Jun2022 showed QT prolongation of G1 again, so IP was withdrawn temporarily under the investigator’s decision on 2Jun2022.
What Should Have Happened:
When aprepitant (a moderate CYP3A4 inhibitor) was prescribed on 19May2022, the following actions were necessary as instructed in the protocol (Protocol 3 version approved at the site as of 19May2022) and the Dear Investigator Letter issued on 18Mar2021 because aprepitant corresponded to a concomitant medication which had to be used with caution.
[Text containing reference to dosing regimen is redacted.]
Why Did This Event Happen: 
Dose reduction of IP when taken with moderate CYP3A4 inhibitors (i.e. aprepitant) was shared with the site staff during the in SIV (18May2021) and Investigators Meeting (13Nov2021), and a Dear Investigator Letter  (18Mar2021) was also issued, but the investigator thought that the IP dose adjustment was recommended.
Immediate Actions Taken:
Corrective action:
-Taking into account the participant’s safety, IP was temporarily withdrawn on 2Jun2022 under the investigator’s decision. 
-The investigator reviewed the impact and safety of the participant due to co-administration of aprepitant and IP without dose reduction, and determined that IP could be resumed after review of QT prolongation for safety evaluation during the unplanned visit on 9Jun2022.
-The study team confirmed with the medical monitor regarding the interpretation of the protocol and confirmed that failure to reduce the dose as suggested by the protocol would correspond to a protocol deviation of Protocol and Dear Investigator Letter instruction. 
-The CRA informed the investigator and study coordinator of the medical monitor's opinion on this matter and retrained them on the protocol rules for IP dose reduction.
Preventive action:
- Although the CRA (during the SIV) and the Japan clinician (during the Japan IM) announced the rules for IP dose modifications to all sites, IP dose modifications when co-administered with a concomitant drug which must be taken with caution, will be re-announced and re-trained to investigators and pharmacists at all sites in Japan. In addition, PIs, investigators in charge of the subjects, and study coordinators will be reminded again of the protocol rules for IP dose modifications, if the subjects are assigned to the IP treatment groups (Arms A or B).
- A request will be made to sites to ask investigators and site staff to contact the CRA if there are any questions regarding the interpretation of the protocol when concomitant medications which must be taken with caution are administered.
Historical Review: 
PI Search:  There were no previous Quality Events identified for this PI upon review of the quality database.
Assessment Comments: 
There were no previous Quality Events for this PI upon review of quality database. This appears to be a first occurrence, isolated event for this PI involving a single participant. The submission indicates that the participant’s IP dose was not reduced when they began taking aprepitant concomitant medication, as is required per Protocol version 3 and as instructed in the Dear Investigator Letter issued on 18Mar2021. The PI did not temporarily withdraw IP administration due to grade 1 QT prolongation on 7Apr2022, and although the QT result recovered to 449 msec on the next cycle, the ECG on 2Jun2022 showed QT prolongation of G1 again, so IP was withdrawn temporarily under the PI’s decision on 2Jun2022. It is noted that the PI reviewed the impact to and safety of the participant and determined that IP could be resumed after review of QT prolongation for safety evaluation during the unplanned visit on 9Jun2022. The Medical Monitor confirmed the event is a protocol deviation. The PI and site staff have been retrained on the protocol rules for IP dose reduction. In addition, the PIs, investigators in charge of the participants, and study coordinators will be reminded again of the protocol rules for IP dose modifications.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</si>
  <si>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GCP_T1_Jun-2022_C4221015: Medication Error_Masuishi, Toshiki_JPN</t>
  </si>
  <si>
    <t>Corrective action:
-Taking into account the subjects safety, encorafenib was temporarily withdrawn on 2Jun2022 under the investigators decision. 
-The investigator reviewed the impact and safety of the subject due to co-administration of aprepitant and encorafenib without dose reduction, and determined that encorafenib could be resumed after review of QT prolongation for safety evaluation during the unplanned visit on 9Jun2022.
-The study team confirmed with the medical monitor regarding the interpretation of the protocol and confirmed that failure to reduce the dose as suggested by the protocol would correspond to a protocol deviation.
Protocol and Dear Investigator Letter instruction "Moderate CYP3A4 inhibitor is allowed in participants but encorafenib should be reduced for 3-5 half lives." 
-The CRA informed the investigator and study coordinator of the medical monitor's opinion on this matter and retrained them on the protocol rules for encorafenib dose reduction.
Preventive action:
- Although the CRA (during the SIV) and the Japan clinician (during the Japan IM) announced the rules for encorafenib dose modifications to all sites, encorafenib dose modifications when co-administered with a concomitant drug which must be taken with caution, will be re-announced and re-trained to investigators and pharmacists at all sites in Japan. In addition, PIs, investigators in charge of the subjects, and study coordinators will be reminded again of the protocol rules for encorafenib dose modifications, if the subjects are assigned to the encorafenib treatment groups (Arms A or B).
- A request will be made to sites to ask investigators and site staff to contact the CRA if there are any questions regarding the interpretation of the protocol when concomitant medications which must be taken with caution are administered.</t>
  </si>
  <si>
    <t>Morris, Van Karlyle</t>
  </si>
  <si>
    <t>Product Protocol Number: 
C4221015
Involved Party / Country:
PI: Morris, Van Karlyle (Site Number: 1001) / United States
Awareness Date:
26-Mar-2022
Quality Event Description:
During the routine monitoring visit at US site 1001 PI Dr Morris, on 26-Mar-2022, the monitor noted participants were e-consented. SCs (Tracy Trevino and Beryl Tross) confirmed this was a normal process per site SOP (2020-0879 ICF process at MD Anderson site). Monitor discussed the issue with the CTM on 02-Jun-2022 and it was confirmed with the Pfizer SM that e-consent was not an approved Pfizer process and site should discontinue this. 
Participant #10011001- latest consent the study coordinator states the consent was done in the clinic with the provider.
Participant #10011003- latest consent was remotely consented.
This issue has only been seen at this site.
What Should Have Happened:
The normal process is for site staff to consent participants in person.
Why Did This Event Happen: 
Site did not discuss this during the PTA or SIV. The CRA was not aware participants were being e-consented. Site were not aware this was not an approved process for the study.
Immediate Actions Taken:
CRA and CTM had a conversation with site supervisor on 08Jun22 and confirmed that site should not use remote consent for the C4221015 trial. 
CRA will reach out to site on 14Jun22 and include SC (Tracy Trevino) and PI (Van Morris) to discuss and ensure site understanding.
Historical Review: 
PI Search: There was one previous Quality Event identified for this PI upon review of the quality database.
PR 2190483_GCP_T1_Jun-2021_C4221015: Lab Sample Shipment_Morris, Van K._USA
Assessment Comments: 
The submission indicates that the site is e-consented 2 participants at the site, as per their organization’s policy. However, e-consenting is not permitted for the C4221015 study. It is noted that upon detection, the CRA escalated the issue and will contact the site to discuss their process and ensure their understanding of the required, per-protocol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</si>
  <si>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GCP_T1_Jun-2022_C4221015: Informed Consent Process_Morris, Van Karlyle_USA</t>
  </si>
  <si>
    <t>Inadequate consent process at the investigator site</t>
  </si>
  <si>
    <t>CRA and CTM had a conversation with site supervisor on 08Jun22 and confirmed that site should not use remote consent for the C4221015 trial. 
CRA will reach out to site on 14Jun22 and include SC(Tracy Trevino) and PI (Van Morris) to discuss and ensure site understanding.</t>
  </si>
  <si>
    <t>Raphael, Michael J.</t>
  </si>
  <si>
    <t>Product Protocol Number: 
C4221015
Involved Party / Country:
PI: Raphael, Michael J. (Site Number: 1049) / United States               
Awareness Date:
16-Jun-2022
Quality Event Description:
The PI from Canadian site 1049 Dr Michael Raphael accidentally forwarded an email to 4 PPD team members including a participant’s private information. The SC was also copied to this email. She immediately replied using the same email and asked the 4 PPD team members to delete both her and Dr. Raphael's emails containing the participant’s private details and to confirm back to her.
What Should Have Happened:
The PI should ensure no private confidential participant information is shared with anybody outside of the hospital.
Why Did This Event Happen: 
This was due to a PI oversight as several emails had been sent to him around the  same time by PPD.
Immediate Actions Taken:
The SC immediately asked the PPD team to delete both emails. The PPD team will each confirm back to her once done.
The CRA will remind the PI and SC to make sure no private participant information is shared and kept confidential at all times.
The CRA will enter a  deviation to document this.
Historical Review: 
PI Search: There were no previous Quality Events identified for this PI upon review of quality database.
Assessment Comments: 
The submission indicates that the PI accidentally forwarded an email to 4 PPD team members including 1 participant’s private information, contrary to Pfizer policy (Corporate Policy 404- Protecting the Privacy of Personal Data) and the duty to protect participant confidentiality. It is noted that the SC realized this and immediately asked the PPD team to delete both emails; PPD team will each confirm back to her once done; CRA will remind the PI and SC to make sure no private participant information is shared and kept confidential at all times, and will enter a  deviation to document this.   In addition, it is recommended that action be taken to remediate the event including ensuring all recipients have deleted the email, email information may be sent/resent with the participant names redacted, and the study team should also explore whether the email containing participant names can be removed/deleted from email servers.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</si>
  <si>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GCP_T1_Jun-2022_C4221015: Participant Confidentiality_Raphael, Michael J._USA</t>
  </si>
  <si>
    <t>The SC immediately asked the PPD team to delete both emails. The PPD team will each confirm back to her once done.
The CRA will remind the PI and SC to make sure no private patient information is shared and kept confidential at all times.
The CRA will enter a  deviation to document this.</t>
  </si>
  <si>
    <t>Product Protocol Number:  
C4221015 
Involved Party / Country: 
PI: Tie, Jeanne (Site Number: 1104) / Australia 
Awareness Date: 
22-Jun-2022 
Quality Event Description: 
Revised ICD (Petermac specific main SLI_17-Dec-2021) was not signed at the first subject visits after it is available at site 1104 of C4221015 study for participants 11041004, 11041008, 11041010 and 11041011.  CRA discovered the first late consenting issue in the monitoring visit on 24-Mar-2022 and found further cases during the monitoring visit on 14-Apr-2022. CRA requested clarification from site for this observation in Apr-2022, and got site's reply on 03-Jun-2022 that site needs to ensure participants have had a chance to read the ICD document and discuss the changes with their doctor prior to signing the ICD, it is not always possible to provide study participant with the ICD prior to a scheduled visit, if reconsenting is deemed inappropriate at the first visit after the ICD is available at site, the consent will be provided to the participant with a brief discussion on the changes, with formal reconsenting occurring at the subsequent visit. CRA gathered all the information and updated PPD CTM on 20-Jun-2022 all the participants who have not signed the revised ICD at the first visit after ICD is available at site, PPD CTM informed Pfizer's study manager on 21-Jun-2022 and site to be reminded to have revised ICDs signed at the first subject visit.
Below listed the participants who have not signed the revised ICD at the first visit after ICD is available at site, the ICD involved is Site 1104 Main ICD for Safety Lead-in participants with version date 20-Jan-2022, which was approved on 20-Jan-2022:
Participant 110410014: first visit after revised ICD is available was on 02-Feb-2022, participant was provided with the revised ICD on the same day (02-Feb-2022) and participant signed the revised ICD on 14-Feb-2022.
Participant 11041008: first visit after revised ICD is available was on 02-Feb-2022, participant was provided with the revised ICD on the same day (02-Feb-2022) and participant signed the revised ICD on 15-Mar-2022.
Participant 11041010: first visit after revised ICD is available was on 25-Jan-2022, participant was provided with the revised ICD on the same day (25-Jan-2022) and participant signed the revised ICD on 24-Feb-2022.
Participant 11041011: first visit after revised ICD is available was on 27-Jan-2022, participant was provided with the revised ICD on the same day (27-Jan-2022) and participant signed the revised ICD on 08-Feb-2022 
What Should Have Happened: 
Participants should have signed the revised ICD at the first visit after the revised ICD is available at site. 
Why Did This Event Happen:  
Site commented that they do not have hard rule for reconsenting participants, and they need to ensure participants had a chance to read the document and discuss the changes with their doctor prior to signing the revised ICD. 
Immediate Actions Taken: 
CRA will remind the site that revised ICD should be signed by study participants at their first visit after it is available at site. 
Historical Review:  
PI Search: There are 4 previous Quality Events identified for this PI upon review of quality database.
PR 2198079_GCP_T1_Jun-2021_C4221015: Lab Requisition Form_Tie, Jeanne_AUS
PR 2187208_GCP_T1_Apr-2021_C4221015: Medication Error_Tie, Jeanne_AUS 
PR 2183330_GCP_T1_Jan-2021_C4221015: CMCD: Medication Error_Tie, Jeanne_AUS 
PR 2182317_GCP_T1_Dec-2020_C4221015: CMCD: IP Management_Tie, Jeanne; PPD_AUS 
Assessment Comments:  
The submission indicates that 4 participants did not sign the revised ICD at their first visit after the ICD became available at site 1104. It is noted that all 4 participants have signed the consent and the CRA will discuss the importance of ICDs being signed at the first available visit with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</si>
  <si>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GCP_T1_Jun-2022_C4221015: Informed Consent Process_Tie, Jeanne_AUS</t>
  </si>
  <si>
    <t>CRA will remind the site that revised ICD should be signed by study subjects at their first visit after it is available at site.</t>
  </si>
  <si>
    <t>van fraeyenhove, frank</t>
  </si>
  <si>
    <t>Product Protocol Number:  
C4221015 
Involved Party / Country: 
PI: Van Fraeyenhove, Frank (Site Number: 1221) / Belgium 
Awareness Date: 
27-Jun-2022 
Quality Event Description: 
A non-study patient at site 1221 was administered with study drug (Encorafenib): 2 kits involved 23823 and 69563. The patient was prescribed with the same study dose of commercial Encorafenib in a medical need program. Commercial Encorafenib has a separate stock at the pharmacy. This pharmacy staff person made probably a mistake in taking study specific instead of commercial drug.
This person retired recently and no retraining on the specific person is applicable anymore. 
What Should Have Happened: 
Commercial drug should have been dispensed to a non-study patient. 
Why Did This Event Happen:  
The real cause cannot be clearly identified since the person is no longer working at this site. 
Immediate Actions Taken: 
-CRA contacted Pharmacy and conducted retraining- but retraining to the specific person is unfortunately no longer applicable
-CRA contacted IMPALA support and asked the specific kits unavailable for use and additional Encorafenib resupply
-CRA informed PI
-CRA will record a Protocol Deviation in Siebel
-CTM escalated the issue to local and global Pfizer teams
-CTM asked CRA to investigate if Ethics must be informed
-CTM asked CRA to investigate if patient took those tablets and if any AEs occurred that must be notified to Pfizer
-CTM asked CRA to check at the next Onsite IMV that Study IP is properly separated by commercial IP and really well marked as for study purposes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non-study patient. The submission indicates that one patient at site 1221 who was not enrolled on the study was administered with study IP, Encorafenib, instead of the commercial supply available at the site pharmacy. It is noted that multiple efforts to remediate have been made including retraining of the pharmacy, PD reported, investigation into any AE’s for the patient and a plan to properly separate commercial and study IP to prevent future reoccurrences. The pharmacist who made this error is no longer at the site.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</si>
  <si>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GCP_T1_Jun-2022_C4221015: Medication Error_Van Fraeyenhove, Frank_BEL</t>
  </si>
  <si>
    <t>1021, 1034, 1109, 1139, 1335</t>
  </si>
  <si>
    <t>Amin, Harshad, Maurel Santasusana, Joan, Rozhkova, Irina A., Sawka, Dariusz, Shen, Lin</t>
  </si>
  <si>
    <t>Product Protocol Number:  
C4221015 
Involved Party / Country: 
PI: Rozhkova, Irina A. (Site Number: 1109) / Russia
PI: Amin, Harshad (Site Number: 1021) / United States
PI: Shen, Lin (Site Number: 1139) / China
PI: Sawka, Dariusz (Site Number: 1335) / Poland
PI: Maurel Santasusana, Joan (Site Number: 1034) / Spain
Awareness Date: 
01-Jul-2022 
Quality Event Description: 
The following participants did not have their eCRF casebooks signed by a PI (or delegate) by 30-Jun-2022 for the 1st Quarter as required by DMB08-CT24-WI-GL02 2.0 Investigator Attestation requirements: 
US participant 10211001
Spain participants 10341001,10341002, 10341003
Russia participants 11091001,11091002, 11091003, 11091004,11091005, 11091006, 11091007
China participant 11391002
Poland participant 13351001
The casebooks were not signed despite notification to all sites of the timelines on 28-Feb-2022 and multiple follow ups via phone and email and escalation. This communication also reminded sites to ensure they checked they had correct access to complete the task. 
What Should Have Happened: 
All sites with participant should have signed off their casebooks initially by 23-Jun-2022 (deadline sent to the sites), or by 30-Jun-2022 at the latest (true study deadline). 
Why Did This Event Happen:  
Reasons for the casebooks not being signed are as follows:
US participant 10211001-No response from site from numerous follow up on phone and email correspondence including from PPD and the SRP, however was signed on 01-Jul-2022
Spain participants 10341001,10341002, 10341003-Change of PI and site did not respond to requests to perform required system access training in a timely manner
Russia participants 11091001,11091002, 11091003, 11091004,11091005, 11091006, 11091007-PI refused to sign due to delays in site payments
China participant 11391002-missed in error as participant was a screen failure, however was signed 01-Jul-2022.
Poland participant 13351001-PI was busy and later Pi misplaced the account details, however was signed 01-Jul-2022 
Immediate Actions Taken: 
For the Spanish site 1034 the PPD team will follow up until the new PI completes the training and is able to sign off all the casebooks on time. For all sites the US, Spanish, Russian and Polish sites -the PPD team will inform the PIs a QE has been raised this time, and they must ensure to sign the casebooks on time at the next quarterly milestone. 
CMCD Information:   
Start Date:  01-Jul-2022
End Date:   01-Jul-2022
Reason for Start/End Date: NA 
CMCD Requirement Not Met: Investigator Attestation Collection for Investigative sites was not completed for all sites in Quarter 1.
Instead of CMCD Requirement: All sites will be requested to enter their attestation for all their participants at the next Quarter 2 timelines per SOP. 
Historical Review:  
PI: Rozhkova, Irina A. (Site Number: 1109) 
PI Search: There were no previous Quality Events identified for this PI upon review of quality database.
PI: Amin, Harshad (Site Number: 1021) 
PI Search: There were no previous Quality Events identified for this PI upon review of quality database.
PI: Shen, Lin (Site Number: 1139) 
PI Search: There were no previous Quality Events identified for this PI upon review of quality database.
PI: Sawka, Dariusz (Site Number: 1335) 
PI Search: There were no previous Quality Events identified for this PI upon review of quality database.
PI: Maurel Santasusana, Joan (Site Number: 1034) 
PI Search: There were no previous Quality Events identified for this PI upon review of quality database.`
Assessment Comments:  
This quality event represents CMCD non-conformance. The CMCD that is referenced by the event reporter is: DMB08-GSOP 6.0 Study Data Set Review, Release, and Archive 01-Jul-2021. 
The submission indicates the quarterly CRF Investigator Attestation has not been performed by 5 PIs for 13 participants’ CRF pages. It is noted that the study team are taking action to remediate this event; reminding CRAs of the due date for the completion of this requirement and requesting PIs complete the task via emails and phone calls. All sites will be requested to enter the attestation for all participants by the Quarter 2 timelines. The submission does not indicate that there has been significant adverse impact to data integrity due to the delayed collection.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</si>
  <si>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GCP_T1_Jul-2022_C4221015: CMCD: Investigator Attestations_Multiple PIs_Global</t>
  </si>
  <si>
    <t>DMB08-Study Data Set Review Release and Archive</t>
  </si>
  <si>
    <t>For the Spanish site 1034 the PPD team wil follow up until the new PI completes the training and is able to sign off all the casebooks on time.
For all sites the US, Spanish, Russian and Polish sites -the PPD team will inform the PIs an SQE has ben raised this time, and they must ensure to sign the casebooks on time at the next quarterly milestone.</t>
  </si>
  <si>
    <t>Shen, Lin</t>
  </si>
  <si>
    <t>Product Protocol Number: 
C4221015
Involved Party / Country:
Vendor: Fisher Clinical Services, Inc. / China
Awareness Date:
04-Jul-2022
Quality Event Description:
Participant [detail redacted]  is at risk of running out of [IP detail redacted] in Cycle 5.
What Should Have Happened:
4 containers of [IP detail redacted] should be dispensed via IRT to participant in Day 1 of the cycle.
Why Did This Event Happen: 
1. IP shipment order of 1756864  for site 1139 was generated in early June but on hold due to site restriction of shipment frequency.
2. There is only 1 participant at this site under treatment of [IP detail redacted], and recently [IP detail redacted] was modified as [IP detail redacted]. Site dispensed the last 2 containers to participant outside of IRT and DCR was issued to request data updated in IRT system.
3. Monitor contacted Fisher on 28-Jun-2022 to get an alignment IP need to be delivered on site on 04-Jul-2022, and another 2 containers [IP detail redacted]  is expected to be dispensed to participant on 05-Jul-2022.
4. Fisher notified Pfizer SM and monitor in the morning of 04-Jul-2022 that this shipment was not delivered to site due to temperature monitoring device expiration. And as checked with site, participant will run out of IP on 06-Jul-2022.
Immediate Actions Taken:
1. SM confirmed with Fisher the new monitoring device will be available on 05-Jul-2022, and urges Fisher to ensure IP shipment to site in the morning of 06-Jul-2022, also request Fisher to provide timely update if any further issue identified for this shipment.
2. Site to site transfer strategy is also in discussion in case future delay identified from Fisher end.
3. The issue has been escalated to study supply chain lead for attention regarding Fisher performance.
4. Monitor contacted with site to remind site pay attention to inventory and request timely communication if there is any participant dose modification followingly.
Historical Review: 
Protocol Search: There were no previous similar Quality Events identified for this Protocol upon review of quality database.
Vendor Search: There were no previous similar Quality Events identified for this Vendor upon review of quality database.
Assessment Comments: 
The submission indicates that IP for 1 participant was not delivered as expected to site due to temperature monitoring device expiration. It is noted that actions are being taken to remediate including escalation to study supply chain lead for attention regarding Fisher performance and the site was reminded to  pay attention to inventory and request timely communication if there is any participant dose modification. Fisher has confirmed the new monitoring device was to be available on 05-Jul-2022, and was to ensure IP shipment to site in the morning of 06-Jul-2022 for the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</si>
  <si>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GCP_T1_Jul-2022_C4221015: IP Management_Fisher Clinical Services, Inc._CHN</t>
  </si>
  <si>
    <t>GUANNAN XIA</t>
  </si>
  <si>
    <t>1. SM confirmed with Fisher the new monitoring device will be available on 05Jul2022, and urges Fisher to ensure IP shipment to site in the morning of 06Jul2022, also request Fisher to provide timely update if any further issue identified for this shipment.
2. Site to site transfer strategy is also in discussion in case future delay identified from Fisher end.
3. The issue has been escalated to study supply chain lead for attention regarding Fisher performance.
4. Monitor contacted with site to remind site pay attention to inventory and request timely communication if there is any patient dose modification followingly.</t>
  </si>
  <si>
    <t>Gravina, Livia Brancher</t>
  </si>
  <si>
    <t>Product Protocol Number:  
C4221015 
Involved Party / Country: 
PI: Gravina, Livia Brancher (Site Number: 1235) / Brazil 
Awareness Date: 
01-Jul-2022 
Quality Event Description: 
For C4221015, Brazil site 1235, it was informed by SC that the Investigator Site File and Emergency Contact Cards were stolen from site. They had been received in previous weeks at site, but when checked by SC on 29-Jun-2022 they were not found. 
What Should Have Happened: 
ISF and ECC should be available on site.
Why Did This Event Happen:  
ISF and ECC should had been kept in a safe place, accessible only to site staff. 
Immediate Actions Taken: 
A new binder of ISF and ECC were requested from Pfizer to replace the stolen ones. In the meantime, an electronic copy of the ISF will be sent to site in case they need to complete documents from ISF. 
Historical Review:  
PI Search: There were no previous Quality Events identified for this PI upon review of quality database.
Assessment Comments:  
Based on eForm entries, there was no system set auto-threshold for this event. The submission indicates that the Investigator Site File and Emergency Contact Cards were stolen from site 1235. It is noted that a new ISF binder and ECC were requested from Pfizer to replace the stolen ones. An electronic copy of the ISF will be sent to the site in the interim.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Maria,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http://datasecurity.pfizer.com/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</si>
  <si>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GCP_T1_Jul-2022_C4221015: Investigator Site File, Emergency Contact Cards_Gravina, Livia Brancher_BRA</t>
  </si>
  <si>
    <t>Maria de la Cerda Besoain</t>
  </si>
  <si>
    <t>A new binder of ISF and ECC were requested to Pfizer to replace the stolen ones. In the meantime, an electronic copy of the ISF will be sent to site in case they need to complete documents from ISF.</t>
  </si>
  <si>
    <t>Jasuja, Sandeep</t>
  </si>
  <si>
    <t>Product Protocol Number:  
C4221015 
Involved Party / Country: 
PI: Jasuja, Sandeep (Site Number: 1229) / India 
Awareness Date: 
06-Jul-2022 
Quality Event Description: 
Local lab of site 1229 has sent the tissue block of wrong participant or participant other than potential participant for the study and tissue block was sent to central laboratory. We have escalated this immediately and Central lab PM has been informed to discard the sample. CRA discussed with PI about this error.  PI will discuss with the lab and will ensure these kinds of errors will not happen in the future. Local lab is in the process of preparing tissue block for correct participant as well. 
What Should Have Happened: 
Local lab should have been used proper identifiers and sent the sample belonging to trial participant. 
Why Did This Event Happen:  
Carelessness from Local lab representative. 
Immediate Actions Taken: 
CRA immediately discussed with PI and study coordinator about this error - PI has discussed with local lab head. CRA will follow up and check what other measures site has put in to avoid these kind of errors. 
Historical Review:  
PI Search: There were no previous Quality Events identified for this PI upon review of quality database.
Assessment Comments:  
The submission indicates that the local lab of site 1229 sent a tissue block for a wrong participant to the central laboratory. It is noted that the issue was escalated to the Central lab PM and the sample will be discarded. PI has discussed with the local lab head and CRA will follow up with the site to ensure additional measures have been put in to place to avoid future reoccurrences.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</si>
  <si>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GCP_T1_Jul-2022_C4221015: Sample Management_Jasuja, Sandeep_IND</t>
  </si>
  <si>
    <t>Neeraj Tatipalli</t>
  </si>
  <si>
    <t>CRA immediately discussed with PI and study coordinator about this error - PI has discussed with local lab head 
CRA will follow up and check what other measures site has put in to avoid these kind of errors</t>
  </si>
  <si>
    <t>Yamazaki, Kentaro</t>
  </si>
  <si>
    <t>Product Protocol Number: 
C4221015
Involved Party / Country:
PI: Yamazaki, Kentaro (Site Number: 1384) / Japan
Awareness Date:
14-Jul-2022
Quality Event Description:
Prohibited participant identifier (participants name) was written on the central lab tube submitted to the central laboratory (PPD lab) for participant 13841003. 
Date of blood collection and date sent to lab: 11-Jul-2022 
Visit Name: Cycle 4 Day 1 
Applicable specimen: hematology
Number of tubes: 1
What Should Have Happened:
Materials sent to external facilities must not contain personal information which can identify the participant.
Why Did This Event Happen: 
Sites normal procedures:
-The main study coordinator prepares the labels for the central lab tubes (both collection and processing tubes), and the study coordinator assistant double checks the details of the labels.
Processing tubes: the participant number and participant name is written on the label. The processing tubes are not submitted to the central lab. Per site rule, in order not to misplace tubes or process incorrect participant tubes, the processing tubes must be labelled with the participant names.
Collection/Submission tubes: only the participant number is supposed to be written on the label. These tubes are submitted to the central lab, so the participant name is usually not written on these tubes. 
The applicable sample for this quality event (hematology sample) did not require sample preparation (centrifuge, etc.) before sending out to the central lab, so per study procedure, the collection tube was sent to the central lab. However, the participants name was accidentally written on the collection/submission tube. 
Double check procedures at the site:
-The main study coordinator confirms the details of the tubes (whether the participant number is correct and whether the participants personal information is not included) before packing them to be sent out to the central lab. 
Lack of confirmation when preparing the tubes:
The applicable tube where the participants name was recorded was the hematology tube, which did not require sample preparation. Per site procedure, tubes which do not require sample preparation (centrifuge, etc.) is not labelled with the participants name. However, the main study coordinator accidentally wrote the participant number and name on the hematology collection tube (=tube which was sent out to the central lab). When the study coordinator assistant double checked the details of the tube, since normally the participants name is not written on the tubes to be sent out to the lab, the study coordinator assistant only confirmed whether there was no mistake in the participant number, and did not confirm whether the participants identification data was not recorded on the samples. 
Lack of double check procedure:
-The main study coordinator usually confirms the samples to see whether the participant ID is correct and whether the participants identification data is not recorded on the samples. However, on 11-Jul-2022, the study coordinator was in a rush and only confirmed whether the participant ID was correct.
Immediate Actions Taken:
Corrective action:
-14-Jul-2022: PPD lab redacted the Prohibited Participant Identifier (Participant Name) found on the sample label by blacking the information out using a permanent marker and ensured that the information could not been seen anymore. A new sample label was also reprinted and pasted over the original label before testing so further breach of participant information can be prevented. 
Preventive Action:
-At site 1384, the main study coordinator labels all tubes (both collection tubes and processing tubes) with the participant number (for both the collection and processing tube) and participant name (for processing tubes only). However for future visits, the main study coordinator will first label all tubes with the participant number, and will then separate the collection tube which do not need to be labelled with the participants name into a plastic bag. Afterwards, the main study coordinator will label the remaining tubes (processing tubes, which are not sent out to the central lab) with the participant name. Per site rule, in order not to misplace tubes or process incorrect participant tubes, the processing tubes must be labelled with the participant names, and the collection tubes were not labelled with the participants names to begin with, so this preventive action will not increase the risk at the site to misplace lab samples. 
-Double check process when preparing the tubes: The double check process will be strengthened. The current site process is that the main study coordinator prepares the tubes a few days before the participants planned visit, and the study coordinator assistant double checks the tube details. However as a preventive action, the main study coordinator will prepare the tubes a few days before the participants planned visit, and the main study coordinator will then double check the tube details including the labels to see whether only necessary information is written on the labels. After the main coordinator self checks, the study coordinator assistant will double check the same details. The double check by the main study coordinator and study coordinator assistant will be recorded on the sites sample processing record (site specific form) by adding a checkbox to record that double check is completed. Once the main study coordinator and study coordinator assistant double checks the details and confirms that there is no problem (i.e. the participant ID is correct, there is no participant identification information on the materials to be sent), the checkbox on the sample processing record will be checked by both personnel. 
-Check process when sending the tubes: When the main study coordinator confirms the details of the tubes before sending out to the central lab, the main study coordinator will not only confirm whether there is no mistake in the participant number, but will also confirm whether the participants identification information is not on any of the materials to be submitted to the central lab. 
-The event was shared will all sites in Japan for the same study, and the sites were asked to be careful to not send out prohibited participant identification information when sending out materials to external vendors.
Historical Review: 
PI Search: There were no prior Quality Events found for this PI on review of the quality database. 
Assessment Comments: 
Based on eForm entries, there was no system set auto-threshold for this event. This appears to be a first occurrence, isolated event for this PI involving a single participant.  The submission indicates that a participants name was written on a lab tube sent by the site to the central lab.  It is noted that PPD lab redacted the Participants name on the tube and also re-labelled the tube to ensure the name could not be seen. The sample preparation and labelling process at the site has been strengthened and all other Japan sites have been reminded to not send out prohibited participant identification information when sending out materials to external vendors.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</si>
  <si>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GCP_T1_Jul-2022_C4221015: Participant Confidentiality_Yamazaki, Kentaro_JPN</t>
  </si>
  <si>
    <t>Corrective action:
-14July2022: PPD lab redacted the Prohibited Subject Identifier (Patient Name) found on the sample label by blacking the information out using a permanent marker and ensured that the information could not been seen anymore. A new sample label was also reprinted and pasted over the original label before testing so further breach of subject information can be prevented. 
Preventive Action:
-At site 1384, the main study coordinator labels all tubes (both collection tubes and processing tubes) with the subject number (for both the collection and processing tube) and subject name (for processing tubes only). However for future visits, the main study coordinator will first label all tubes with the subject number, and will then separate the collection tube which do not need to be labelled with the subjects name into a plastic bag. Afterwards, the main study coordinator will label the remaining tubes (processing tubes, which are not sent out to the central lab) with the subject name. Per site rule, in order not to misplace tubes or process incorrect patient tubes, the processing tubes must be labelled with the patient names, and the collection tubes were not labelled with the subjects names to begin with, so this preventive action will not increase the risk at the site to misplace lab samples. 
-Double check process when preparing the tubes: The double check process will be strengthened. The current site process is that the main study coordinator prepares the tubes a few days before the subjects planned visit, and the study coordinator assistant double checks the tube details. However as a preventive action, the main study coordinator will prepare the tubes a few days before the subjects planned visit, and the main study coordinator will then double check the tube details including the labels to see whether only necessary information is written on the labels. After the main coordinator self checks, the study coordinator assistant will double check the same details. The double check by the main study coordinator and study coordinator assistant will be recorded on the sites sample processing record (site specific form) by adding a checkbox to record that double check is completed. Once the main study coordinator and study coordinator assistant double checks the details and confirms that there is no problem (ie. the subject ID is correct, there is no subject identification information on the materials to be sent), the checkbox on the sample processing record will be checked by both personnel. 
-Check process when sending the tubes: When the main study coordinator confirms the details of the tubes before sending out to the central lab, the main study coordinator will not only confirm whether there is no mistake in the subject number, but will also confirm whether the subjects identification information is not on any of the materials to be submitted to the central lab. 
-The event was shared will all sites in Japan for the same study, and the sites were asked to be careful to not send out prohibit subject identification information when sending out materials to external vendors.</t>
  </si>
  <si>
    <t>Product Protocol Number:  
C4221015 
Involved Party / Country: 
Vendor: YOURWAY  / Italy  
Awareness Date: 
20-Jul-2022 
Quality Event Description: 
IP was not returned before expiration date (Oxaliplatin-exp May 2022) at site 1264 despite CRA organizing the pick up on time before expiry date. 
What Should Have Happened: 
IP should have been returned before expiration date (end of May 2022) as requested per local regulations. 
Why Did This Event Happen:  
YOURWAY Courier didn't pick up the correct box on the scheduled day and CRA was informed about this in June by Pharmacists. 
Immediate Actions Taken: 
- CRA/RSM confirmed IP was properly separated/quarantined in the closed box so that there was no risk to have the IP wrongly assigned to anyone
-Courier was contacted to understand the root cause of the event-- it seems the courier made a mistake in picking up the box (human error)
-CRA and RSM have been retrained by CTM to follow up strictly on IP returns until confirmation of destructions has been received
-A new courier was organized to pick up and destroy expired IP locally as requested by regulations for expired IP (confirmation of destruction received on 21-Jul-2022)- however the courier pick up was organized by courier itself with no ok from CRO/Sponsor that was not able to check the additional documents completed for the expired IP to be returned. 
Historical Review:  
Vendor/Protocol Search: There were no previous similar Quality Events identified for YOURWAY in this Protocol upon review of quality database. 
Assessment Comments:  
The submission indicates that YOURWAY Courier did not pick up the correct box on the scheduled day for IP pickup, therefore IP was not returned before expiry date for site 1264. It is noted that the courier has been made aware of the issue and a new courier was organized to pick up and destroy the expired IP without confirmation from the Sponsor/CRO. IP was confirmed to be destroyed on 21-Jul-2022. CRA and RSM have been retrained to follow up on IP returns until confirmation of destructions has been received.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</si>
  <si>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GCP_T1_Jul-2022_C4221015: Vendor Responsibilities: IP Management_YOURWAY_ITA</t>
  </si>
  <si>
    <t>- CRA/RSM confirmed IP was properly separated/quarantined in the closed box so that there was no risk to have the IP wrongly assigned to anyone
-Courier was contacted to understand the root cause of the event-- it seems the courier made a mistake in picking up the box (human error)
-CRA and RSM have been retrained by CTM to follow up strictly on IP returns until confirmation of destructions has been received
-A new courier was organized to pick up and destroy expired IP locally as requested by regulations for expired IP (confirmation of destruction received on 21Jul22)- however the courier pick up was organized by courier itself with no ok from CRO/Sponsor that was not able to check the additional documents completed for the expired IP to be returned</t>
  </si>
  <si>
    <t>Product Protocol Number: 
C4221015
Involved Party / Country:
Vendor: PPD / Brazil 
Awareness Date:
07-Mar-2022
Quality Event Description:
Pregnant Partner (PP) ICF - It was noticed that in the footer of PP ICF, the year of version date is 2020, instead of 2021.
Noticed by one of the CAS of the study during participating site ICF customization.
Assent Form - It was noticed that a word of a sentence was deleted by mistake during translation review, so translated Assent had the word missing.
"If there are any words or information that you do *not* understand, talk to the responsible researcher or study staff".
Noticed by a participating site prior to submission to their EC.
In regards to PP ICF, mistake was noticed by CAS during ICF customization for remaining sites. Therefore, NC EC (21-Sep-2021) and CEC (25-Feb-2022) had already approved the document due to how ethical submissions are performed in Brazil. It's required to received approval from NC EC and CEC before remaining sites can move on with their respective submissions.
In regards to Assent Form, the mistake was noticed by a participating site (not NC site) on 07-Mar-2022 and it was escalated to one of the CAS for this study on the same day. The CASs escalated this issue to LMs and set up a strategy to have the corrected documents notified to NC EC and sent to remaining sites prior to submission.
What Should Have Happened:
Pregnant Partner ICF - Year of version date should be 2021.
Assent Form - The "no" deleted by accident during translation review should be present in the phrase.
Why Did This Event Happen: 
Translation QC was performed according to SOP 16950 Translations and Backtranslations, however this event was a human error. Therefore both mistakes passed by SIA CRA (for Assent), and by CAS, CTM and previous STM (for PP).
Immediate Actions Taken:
Corrected documents were provided to NC site for notification to NC EC. Participating sites received corrected documents prior to submission, therefore the following submissions were not impacted.
CMCD Information:  
Start Date: 02-Aug-2021
End Date:  07-Mar-2022
Reason for Start/End Date: NA
CMCD Requirement Not Met: Incorrect version date on Pregnant Partner Form, and incorrect wording in Assent Form.
Instead of CMCD Requirement: Incorrect information was corrected, notified to NC EC and participating sites' ECs received corrected documents for approval.
Historical Review: 
Protocol and Vendor Search: There were no previous similar Quality Events identified for the vendor in this Protocol upon review of quality database.
Assessment Comments: 
This quality event represents CMCD non-conformance. The CMCD that is referenced by the event reporter is: CT05-GSOP 8.0 Informed Consent Document 06-Dec-2021.
The submission indicates that the Pregnant Partner ICF had an incorrect version date of 2020 instead of 2021, and an error resulting from the Assent Form translation review was detected; the word ‘no’ was removed from one statement. It is noted that the corrected documents were provided to the NC site for notification to NC EC. Participating sites received corrected documents prior to their EC submission.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</si>
  <si>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GCP_T1_Aug-2022_C4221015: CMCD: Informed Consent Document_PPD_BRA</t>
  </si>
  <si>
    <t>Taina Lourenco</t>
  </si>
  <si>
    <t>Corrected documents were provided to NC site for notification to NC EC. Participating sites received corrected documents prior to submission, therefore the following submissions were not impacted.</t>
  </si>
  <si>
    <t>Product Protocol Number: 
C4221015
Involved Party / Country:
Vendor: PPD / Spain 
Awareness Date:
08-Aug-2022
Quality Event Description:
For study C4221015 there was a revision to a dosing diary for Capecitabine due to a change in packaging (bottles and blister packs).  Diary version 2 was provided on 12-May-2021 to be included in submissions.  This instruction was provided but overlooked in Spain.  Therefore, participants randomized to Capecitabine in Spain have been completing version 1 of the diary instead of version 2.  This was identified when a Chinese speaking participant was identified and needed a Chinese translation of participant facing documents.  When checking the documents in pTMF, our Clinical Team Manager realized that v2 was not provided to the EC and requested Spanish and Chinese translation of v2.
What Should Have Happened:
The revised diary should have been translated and provided to the EC in May of 2021.
Why Did This Event Happen: 
Responsible country approval specialist overlooked the instruction.
Immediate Actions Taken:
EC was notified on 09-Aug-2022 of the revised diary and Spanish and Chinese translation were requested.  Participant recruitment materials and ICDs are evaluated by EC in Spain, the EC does not review or approve participant diaries they are sent for notification purposes only.
Historical Review: 
Protocol and Vendor Search:  There were no previous similar Quality Events identified for the vendor in this protocol, upon review of the quality database.
Assessment Comments: 
This quality event did not indicate CMCD non-conformance as part of the eForm submission. No particular CMCD is referenced by the reporter of the event; however, the Reporter references an amended dosing diary with overlooked instruction for submission and translation which appears to be a CMCD non-conformance related to INV02-GSOP 4.0 Investigational Site Selection, Preparation, and Initiation 01-Apr-2022.
This is a first occurrence, isolated event for this protocol. The quality event (QE) submission reports that the study team was not compliant with procedures, as the amended diary was not translated and submitted to the EC in Spain. It is noted that following a reminder email regarding this requirement, actions were taken to notify the EC and request the translated diary v2 in Spanish and Chinese. There is no indication in the submission of significant adverse impact to participants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</si>
  <si>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GCP_T1_Aug-2022_C4221015: CMCD:  EC Submissions: Diary_PPD_ESP</t>
  </si>
  <si>
    <t>EC notified on 09Aug2022 of the revised diary and translations for Spanish and Chinese have been requested.  Please note, the only patient materials evaluated by EC in Spain are patient recruitment materials and ICDs.  EC does not review or approve patient diaries, but they are sent for notification.</t>
  </si>
  <si>
    <t>Tebbutt, Niall</t>
  </si>
  <si>
    <t>Product Protocol Number:  
C4221015 
Involved Party / Country: 
PI: Tebbutt, Niall (Site Number: 1233) / Australia 
Vendor: PPD / Australia 
Awareness Date: 
15-Aug-2022 
Quality Event Description: 
C4221015 study site 1233 SC received Calyx (central imaging vendor) access to an incorrect site (1232). When she uploaded baseline image of participant 12331001, the image went to site 1232 and became 12321001's image. 
What Should Have Happened: 
The site SC should have been given access to the correct site. 
Why Did This Event Happen:  
A typo of site number in the access request sent by Australian remote monitor caused this error. 
Immediate Actions Taken: 
Central imaging vendor was requested to remove the SC access from the incorrect site (1232) and be added to the correct site (1233), and to deleted the uploaded images under the incorrect site. Monitors in Australia are asked to remind site to check they are in the correct site before uploading image. A report showing all site staff access to the Calyx portals (MyTrial and Ambra) was requested. When received, monitor will check and confirm all site staff were granted access under the correct site. 
Historical Review:  
PI Search: There was 1 previous Quality Event identified for this PI upon review of quality database.
PR 2177684_GCP_Oct-2020_C4221009: SIRIUS Access_Multiple Sites [CANCELLED]
Assessment Comments:  
This is a first occurrence, isolated event for the site related to duties of confidentiality. The submission indicates that site 1233’s study coordinator uploaded a baseline image of participant 12331001 to site 1232 as they were granted access to the incorrect site due to the CRA’s typo in the access request. This is contrary to Pfizer policy (Corporate Policy 404- Protecting the Privacy of Personal Data) and the duty to protect participant confidentiality.  It is noted that the imaging vendor has removed the SC’s incorrect access and delete the uploaded images under the incorrect site. Remediation efforts have been made including a report pulled to review and confirm all system access is granted correctly. If it has not already been done, the CRA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and in case they have additional questions, actions or clarifications to discuss with the Reporting Party; or in case reporting to data protection authorities may be necessary.
…………………………………………………………………………………………………………………………………………….
Dear @Ng, Karen and @khayzenne.abarra@ppd.comIf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</si>
  <si>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GCP_T1_Aug-2022_C4221015: System Access; Participant Confidentiality_PPD; Tebbutt, Niall_AUS</t>
  </si>
  <si>
    <t>Data Privacy, IT Systems</t>
  </si>
  <si>
    <t>Data privacy/confidentiality, IT system security threat/compromise (inappropriate use/access, intrusion detection, mgmt/unintended release of non-subj info)</t>
  </si>
  <si>
    <t>403 , CP404</t>
  </si>
  <si>
    <t>Central imaging vendor was requested to remove the SC access from the incorrect site (1232) and be added to the correct site (1233), and to deleted the uploaded images under the incorrect site.
Monitors in Australia are asked to remind site to check they are in the correct site before uploading image.
A report showing all site staff access to the Calyx portals (MyTrial and Ambra) was requested. When received, monitor will check and confirm all site staff were granted access under the correct site.</t>
  </si>
  <si>
    <t>Shiozawa, Manabu</t>
  </si>
  <si>
    <t>Product Protocol Number: 
C4221015
Involved Party / Country:
PI: Shiozawa, Manabu (Site Number: 1396) / Japan
Vendor: PPD / Japan 
Awareness Date:
16-Aug-2022
Quality Event Description:
On the C3D1 visit for participant 13961001, there was a decrease in weight (71.5kg to 63.8kg, about 11% decrease) so per protocol 8.2.4, the dose of levofolinate had to be modified, but was not decreased. 
Also, the CRA did not notice the medication error in a timely manner. 
Applicable visits and amount:
28-Apr-2022, 02-Jun-2022, 30-Jun-2022, 28-Jul-2022
Incorrect dose: [dose redacted]
Correct dose: [dose redacted]
What Should Have Happened:
The CRA should have noticed the medication error earlier and should have confirmed the dose modification background with the site earlier. 
If the weight varies by 10% from the previous cycle, per protocol 8.2.4m the dose of IP must be recalculated. 
8.2.4. Body Surface Area 
BSA will be calculated at the start of each cycle. The most recent participant weight available should be used to calculate BSA in order to determine the appropriate dose for that cycle. If the participants weight at the beginning of each cycle varies by 10% from the previous cycle, the dose must be recalculated.
Why Did This Event Happen: 
The investigator and study coordinator confirmed protocol section 6.6.3 and determined that the dose modification for levofolinate was unnecessary. 
6.6.3. Dose Modifications for Oxaliplatin, Irinotecan, 5-FU and Capecitabine as Part of mFOLFOX6, FOLFIRI, FOLFOXIRI and CAPOX Regimens
Additional guidance on the recommended dose reductions are as follows: 
 Only those agents specified in the table below should be dose reduced. 
 Dose reductions beyond the third dose reduction are not allowed for oxaliplatin, irinotecan or 5-FU or beyond the second dose reduction of capecitabine. 
 No dose modifications are implemented for leucovorin. If 5-FU is held or omitted, then leucovorin should also be held or omitted, accordingly. 
Background:
28-Apr-2022: Participant 13961001s weight decreased by 10% so dose modification of all IPs was necessary. However in protocol section 6.6.3, there were instructions that no dose modifications are implemented for levofolinate, so the investigator and study coordinator misunderstood that dose modification was not required for levofolinate. The correct procedure was to modify the dose of levofolinate if there was a weight change 10%. All other IP doses were modified, but the dose for levofolinate was not modified and dosing was conducted with the previous dose amount before the weight change. 
On this day, the CRA received a question from the study coordinator asking whether the dose modification of levofolinate is unnecessary per protocol 6.6.3 and since the CRA did not have enough background information regarding the participants weight loss, the CRA was unable to notify the study coordinator that if there was a weight change 10%, the dose will have to be modified per protocol section 8.2.4. 
The CRA had visited the site on 13-Jun-2022 for SDV and completed SDR for participant 13961001 but thought that the dose modification for levofolinate was not necessary per protocol 6.6.3, and did not realize that there was a medication error.
27-Jun-2022: The Pfizer study manager pointed out to the CRA that the dose of levofolinate was not decreased. The CRA thought that the site was dosing the subject correctly per protocol 6.6.3 and did not confirm the background of the dose modification until the monitoring visit on 15-Aug-2022. 
15-Aug-2022: The CRA confirmed through the study coordinator and medical records the background of the issue, and realized that there was a potential medication error.
16-Aug-2022: After confirming through the study coordinator the background details of the issue and after re-confirming the protocol details with the clinical team manager (CTM), it was determined by the investigator that the amount of levofolinate was not reduced per protocol and the issue was determined to be a medication error by the investigator.
Immediate Actions Taken:
Corrective action: 
-The effect of the medication error on participant 13961001’s safety is being confirmed with the investigator, but the investigator confirmed that there were no SAEs associated with the medication error.
There was one AE which was related to all study drugs (encorafenib, cetuximab, chemotherapy). AE name: thrombocytopenia (grade 2). However, participant 13961001s platelet count was originally low to begin with, and grade 2 thrombocytopenia was already reported as an AE (AE start date: 09-Mar-2022) before the medication error occurred, and the investigator confirmed that there was no worsening of the AE grade due to the medication error. 
-The site will report this issue as a protocol deviation 
-The CRA will retrain the site staff regarding the protocol rules for dose modification. 
-The CRA for site 1396 will be retrained on the protocol rules for dose modification. 
-The CRA confirmed that the levofolinate dose was recalculated and the dose was appropriately reduced on the participants visit on 17-Aug-2022. 
Preventive action; 
-The CRAs will notify all sites of the issue and warn them to follow the dose modification per protocol. It will be confirmed whether similar issues have occurred at other sites. 
-Since there are two procedures on reducing the levofolinate dose (recommended dose for chemotherapy, and dose modification due to weight change), the clinical team manager (CTM) will train the CRAs on the protocol rules for dose modification of levofolinate.  
-Since the dose modification of levofolinate during weight change is difficult to understand from the protocol wording, the CTM will retrain the CRAs regarding the protocol rule for dose modification.
Historical Review: 
PI Search: There were no previous Quality Events identified for the PI on review of the quality database.
Protocol and vendor search: There were no previous related Quality Events identified for the protocol and vendor on review of the quality database.
Assessment Comments: 
There were no previous Quality Events for this PI upon review of quality database.  This appears to be a first occurrence, isolated event for this PI involving a single participant.  The submission indicates that the site did not follow the protocol and did not modify the dose of levofolinate based on the participants weight loss of 10%. The dose of levofolinate was not modified correctly between 28-Apr-2022 and 17-Aug-2022. In addition the monitor did not identify the medication error. It is noted that the participants dose was modified correctly on 17-Aug-2022, the site have been retrained regarding protocol required dose modifications and the CRA’s will also be retrained. All sites will be reminded of the dose modification requirements by the CRA’s and the study team will carry out a review to confirm that the issue has not occurred at any other sites.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</si>
  <si>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GCP_T1_Aug-2022_C4221015: Medication Error; Monitoring Responsibilities_Shiozawa, Manabu; PPD_JPN</t>
  </si>
  <si>
    <t>Medicinal Product, Protocol Deviations, Site Management and Monitoring</t>
  </si>
  <si>
    <t>Failure to detect/document, Failure to follow protocol, Inadequate preparation, dosing, dispensing error</t>
  </si>
  <si>
    <t>INV04-Investigational Site Management and Monitoring, IP13-Investigational Medicinal Product, No Process Assigned</t>
  </si>
  <si>
    <t>Corrective action: 
-The effect of the medication error on subject 13961001s safety is being confirmed with the investigator, but the investigator confirmed that there were no SAEs associated with the medication error.
There was one AE which was related to all study drugs (encorafenib, cetuximab, chemotherapy). AE name: thrombocytopenia (grade 2). However, subject 13961001s platelet count was originally low to begin with, and grade 2 thrombocytopenia was already reported as an AE (AE start date: 9Mar2022) before the medication error occurred, and the investigator confirmed that there was no worsening of the AE grade due to the medication error. 
-The site will report this issue as a protocol deviation 
-The CRA will retrain the site staff regarding the protocol rules for dose modification. 
-The CRA for site 1396 will be retrained on the protocol rules for dose modification. 
-The CRA confirmed that the levofolinate dose was recalculated and the dose was appropriately reduced on the subjects visit on 17Aug2022. 
Preventive action; 
-The CRAs will notify all sites of the issue and warn them to follow the dose modification per protocol. It will be confirmed whether similar issues have not occurred at other sites. 
-Since there are two procedures on reducing the levofolinate dose (recommended dose for chemotherapy, and dose modification due to weight change), the clinical team manager (CTM) will train the CRAs on the protocol rules on dose modification of levofolinate.  
-Since the dose modification of levofolinate during weight change is difficult to understand from the protocol wording, the CTM will retrain the CRAs regarding the protocol rule for dose modification.</t>
  </si>
  <si>
    <t>Pereira, Rodrigo Perez</t>
  </si>
  <si>
    <t>Product Protocol Number:  
C4221015 
Involved Party / Country: 
PI: Pereira, Rodrigo Perez (Site Number: 1347) / Brazil 
Awareness Date: 
22-Aug-2022 
Quality Event Description: 
Study C4221015, Site 1347 received a data clarification form (DCF) from vendor Cellcarta stating:
‘Please note that we received an inappropriately blinded pathology report for the aforementioned subject. We took appropriate steps to properly blind the document. If required, please update your records for this subject sample too. Kindly ensure to appropriately de-identify future documents that you may submit.’ 
What Should Have Happened: 
All the participant information should had been de-identified prior to being sent to vendor CellCarta. 
Why Did This Event Happen:  
This occurred for the first participant at this site, for the first sample sent to Cellcarta. By site mistake they did not de-identified a pathology report. 
Immediate Actions Taken: 
Per CellCarta:
- We took appropriate steps to properly blind the document. If required, please update your records for this subject sample too. 
CRA contacted site as soon as DCF was received to re-train them on requirements to appropriately de-identify documents that are submitted to vendors or anyone outside the site. A GCP deviation was registered in Siebel. 
Historical Review:  
PI Search: There were no previous Quality Events identified for this PI upon review of quality database.
Assessment Comments:  
Based on eForm entries, there was no system set auto-threshold for this event. This is a first occurrence, isolated event for the site related to duties of confidentiality. The submission indicates that the site did not de-identify a pathology report for one participant before sending it to vendor CellCarta. This is contrary to Pfizer policy (Corporate Policy 404- Protecting the Privacy of Personal Data) local regulation and the duty to protect participant confidentiality. It is noted that once detected, CellCarta confirmed they took appropriate steps to properly blind the document. Other remediation efforts have been made including a PD recorded in Siebel, and CRA re-training of the site on requirements to appropriately de-identify documents that are submitted to vendors or anyone outside the site. It is recommended, if it has not already been done, that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</si>
  <si>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GCP_T1_Aug-2022_C4221015: Participant Confidentiality_Pereira, Rodrigo Perez_BRA</t>
  </si>
  <si>
    <t>Per CellCarta:
- We took appropriate steps to properly blind the document. If required, please update your records for this subject sample too.
CRA contacted site as soon as DCF was received to re-train them on requirements for appropriately de-identify documents that are submitted to vendors or anyone outside the site.
A GCP deviation was registered in Siebel.</t>
  </si>
  <si>
    <t>Product Protocol Number:  
C4221015 
Involved Party / Country: 
Vendor: QIAGEN / Global  
Awareness Date: 
04-Aug-2022 
Quality Event Description: 
QIAGEN, the CDx partner supplying BRAF testing kits for central testing of tissue samples in the C4221015 study, failed to ship kits to the CellCarta - Belgium central lab performing the central testing. The delay in shipping caused the BRAF testing to be put on hold until BRAF kit could be supplied to the lab. CellCarta notified QIAGEN and Pfizer that a new lot of BRAF kits had not been received, the current kit supply was limited to one kit that was expiring on 04-Aug-2022. During vendor meeting and also via email, QIAGEN had notified the team that the BRAF kits were shipped and received. The hold on BRAF testing only applied to participants in countries that submit samples to CellCarta - Belgium lab (US and China labs unaffected). The study team was notified of the testing hold due to limited kit supply. 
What Should Have Happened: 
QIAGEN has an internal process for shipping and receiving assay kits provided as part of a clinical study. There is a manifest that must be returned by the receiving lab to account for the clinical trial assay kits. The manifest would have been provided as part of the shipment and CellCarta would have returned this form if the process had been followed. 
Why Did This Event Happen:  
Failure to follow QIAGEN internal process for confirming shipment of clinical trial assay kits. 
Immediate Actions Taken: 
A new shipment of BRAF assay kits was ordered at QIAGEN, the shipment was expedited. QIAGEN also provided a memo to extend the expiry of the one available kit at CellCarta in order to continue testing. CellCarta expedited testing of all samples in the queue and provided test results within 24 hours. A CAPA was requested to be opened at QIAGEN to determine the cause of failure to ship the kits. 
Historical Review:  
Vendor Search: There were no previous similar Quality Events identified for QIAGEN upon review of quality database. 
Assessment Comments:  
The submission indicates that QIAGEN failed to ship BRAF Assay kits to the Belgium central lab which caused BRAF testing to be put on hold for participants in countries that submit samples to CellCarta. It is noted that remediation efforts have been made including a new shipment of kits expedited, CAPA creation at QIAGEN and a memo to extend the expiry of the one available kit at CellCarta. CellCarta has expedited testing of all samples in the queue and provided test results within 24 hours.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</si>
  <si>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GCP_T1_Aug-2022_C4221015: Vendor Responsibilities: Laboratory Supply_QIAGEN_Global</t>
  </si>
  <si>
    <t>Alison Bamberg</t>
  </si>
  <si>
    <t>A new shipment of BRAF assay kits was ordered at QIAGEN, the shipment was expedited. QIAGEN also provided a memo to extend the expiry of the one available kit at CellCarta in order to continue testing. CellCarta expedited testing of all samples in the queue and provided test results within 24 hours. 
A CAPA was requested to be opened at QIAGEN to determine the cause of failure to ship the kits.</t>
  </si>
  <si>
    <t>Huang, Chenghui</t>
  </si>
  <si>
    <t>Product Protocol Number:  
C4221015 
Involved Party / Country: 
PI: Huang, Chenghui (Site Number: 1130) / China 
Awareness Date: 
23-Aug-2022 
Quality Event Description: 
During the co-monitoring visit, Study Manager identified that site 1130 is not able to perform Lipase tests, which is a Protocol-Required Safety Laboratory Assessment. This has impacted all visits for 8 ongoing participants at the site. 
What Should Have Happened: 
Lipase should be tested per protocol requirement for all participants enrolled on D1 and D15 of each cycle for Arm A, B and C (except CAPOX regimen) and D1 of each cycle for Arm C CAPOX regimen. 
Why Did This Event Happen:  
Due to China specific requirement (HGRAC, and central lab results cannot be provided timely before participant dosing during each cycle), all China sites are using local laboratory results for clinical safety laboratory assessments instead of central lab after participant randomization. Site 1130 is not able to test Lipase, which is one item of Protocol-Required Safety Laboratory Assessments. And due to COVID-19 impact site placed travel restriction, the 1st MV was not able to be performed until 26-May-2022, this is the top enrolling site in China. Monitor and site staff did not identify this issue during the 1st MV. 2nd MV combined with oversight visit was scheduled in Jul initially but postponed to Aug due to pandemic impact, and this issue has just been identified now. 
Immediate Actions Taken: 
1, All participants will have the Lipase tested at site 1423 (located in the same city as 1130) in following visits and PI will closely monitor the results and pay attention to any potential safety impact. 
2, SM to check all other China sites to ensure all protocol required safety tests can be performed in local labs. 
3, HGRAC amendment to be conducted to add additional sample amount for back-up central lab testing. 
4, Notify study clinician to see if there are any safety concerns and report PD. 
Historical Review:  
PI Search: There were no previous Quality Events identified for this PI upon review of quality database.
Assessment Comments:  
This appears to be a first occurrence, isolated event for this PI involving 8 participants. The submission indicates that site 1130 is not able to perform Lipase tests, which is a Protocol-Required Safety Laboratory Assessment. Due to China specific requirements, all sites in China are using local laboratories for laboratory assessments instead of a central lab which has impacted all visits for 8 ongoing participants at the site. It is noted that multiple remediations have been made including Lipase testing to occur at site 1423, QC of other China sites to ensure testing can be performed at local labs, HGRAC amendment created, and PDs reported.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</si>
  <si>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GCP_T1_Aug-2022_C4221015: Protocol Procedures; Lipase Test_Huang, Chenghui_CHN</t>
  </si>
  <si>
    <t>1, All subjects will have the lipase tested in site 1423(which located in the same city with 1130) in following visits and PI will close monitor these results and pay special attention to any potential safety signal. 
2, SM to check all other China sites to ensure all protocol required safety tests can be performed in local labs. 
3, HGRAC amendment to be conducted to add additional sample amount for back-up central lab testing. 
4, Notify study clinician to see any more safety concern and report PD.</t>
  </si>
  <si>
    <t>Goekkurt, Eray</t>
  </si>
  <si>
    <t>Product Protocol Number:  
C4221015  
Involved Party / Country: 
Vendor: PPD Laboratories / Germany
Awareness Date: 
25-Aug-2022 
Quality Event Description: 
PPD Lab reports were faxed to an incorrect fax number.
What Should Have Happened: 
PPD Laboratories should have been notified of the correct fax number.  
Why Did This Event Happen:  
PPD Laboratories tracker, primary source of where the fax number is recorded, was updated with the PI’s old fax number.  Site staff informed PPD Team about the that the fax number was incorrect.
Immediate Actions Taken: 
The issue was escalated to the PPD Laboratories PM immediately, correct fax number was communicated to PPD Laboratories by email, and the PPD Laboratories tracker was updated with the correct fax number.  
Historical Review:  
Vendor Search: There were no previous similar Quality Events identified for this Vendor for this protocol upon review of quality database.
Assessment Comments:  
This quality event did not indicate CMCD non-conformance as part of the eForm submission.  However, the reporter references an issue related to participant identifying information and the event is relevant to Pfizer Corporate Policy 404 - Protecting the Privacy of Personal Data) local regulation and the duty to protect participant confidentiality.
The submission indicates that the vendor PPD Laboratories faxed Lab reports to the incorrect fax number; contrary to Pfizer policy (Corporate Policy 404- Protecting the Privacy of Personal Data) local regulation and the duty to protect participant confidentiality.  It is noted the issue was escalated to PPD Laboratories PM immediately, the correct fax number was communicated to PPD Laboratories by email, and the PPD Laboratories tracker was updated with the correct fax number.  It is recommended, if it has not already been done, that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a T2,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Note: Submitted information from eForm included selection that this event is "Non-compliance that has Impacted participant Safety and Well-being". There does not appear to be information in the submitted text supporting or explaining how there has been a significant adverse impact to participant safety and well-being due to this event. It is possible that this was checked in error. If it is identified that there has been any potential/material (significant) adverse effect to participant safety or other medical concerns due to this event, please resubmit providing necessary detail on the significant impact. It is not necessary to clarify this point or resubmit, unless you are resubmitting due to this factor.</t>
  </si>
  <si>
    <t>GCP_T1_Aug-2022_C4221015: CMCD:  Participant Confidentiality_PPD Laboratories_DEU</t>
  </si>
  <si>
    <t>Issue escalated to PPD Lab PM immediately.
Correct Fax number communicated to PPD Lab by e-mail.
PPD Lab tracker updated also with correct fax number.</t>
  </si>
  <si>
    <t>Product Protocol Number: 
C4221015
Involved Party / Country:
Vendor: Calyx / Global 
Awareness Date:
14-Sep-2022
Quality Event Description:
Calyx the vendor which provides blinded independent central read (BICR) of imaging for C4221015's primary endpoint, is lacking responsiveness and transparency following the Pfizer teams request to verify that investigator requested BICR results are returned to sites within the protocol specified time window of 5 business days.  On 06-Sep-2022, Calyx indicated that they were aware of the expedited BICR report(s) that were provided outside of the protocol specified window and asked for a waiver. The Pfizer Clinical colleagues on the call reminded the Calyx project managers that the protocol must be followed and requested a comprehensive status report to assess protocol compliance thus far. Calyx has not responded, has not provided a report, and or status update of when the report will be available.
What Should Have Happened:
Calyx should be responsive and more importantly Calyx needs to adhere to protocol specified timeframe (BICR will perform the review of radiological data and then the results will be communicated to the site 5 business days from BICR confirmation on acceptable image receipt) with periodical status updates provided to the Pfizer team.  In the interim, Calyx should provide a comprehensive list of expedited BICR until the programmed report as requested to assess protocol compliance.
Why Did This Event Happen: 
Potential Calyx oversight.
Immediate Actions Taken:
Pfizer team requested Calyx to develop a report to track when the investigator submits an expedited BICR evaluation and when a BICR result is sent to the investigator which will be available weekly.  
Historical Review:  
Vendor/Protocol Search: There are no previous similar Quality Events identified for Calyx in this Protocol upon review of quality database.
Assessment Comments: 
The submission indicates Calyx, the blinded imaging central read vendor for C4221015 has not  provided sites with BICR reports within the specified protocol timeframe, they have not been responsive and they have not provided status updates to the Pfizer team requests.  The Calyx PMs were reminded by the Pfizer Clinical team on 06-Sep-2022 during a team call that the protocol must be followed and requested a comprehensive status report to assess protocol compliance.  It is noted that that the Pfizer team requested Calyx to develop a weekly report to track when the investigator submits an expedited BICR evaluation and to track when BICR sent results to investigators.  The study team has also requested Calyx to provide a comprehensive list of expedited BICR requests to access compliance in the interim.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</si>
  <si>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GCP_T1_Sep-2022_C4221015: Vendor Responsibilities_Calyx_Global</t>
  </si>
  <si>
    <t>Karen Wang(WANGK41)</t>
  </si>
  <si>
    <t>Pfizer team requested Calyx to develop a report to track when the investigator submits an expedited BICR evaluation and when BICR result is sent to the investigator.  This report should be available weekly.</t>
  </si>
  <si>
    <t>Sartore-Bianchi, Andrea</t>
  </si>
  <si>
    <t>Product Protocol Number: 
C4221015
Involved Party / Country:
PI: Sartore-Bianchi, Andrea (Site Number: 1026) / Italy
Awareness Date:
22-Sep-2022
Quality Event Description:
Participant was consented by staff member not delegated to do so, central labs were not reviewed, and ICD was not properly completed. The participant was screening failure as they did not meet inclusion criteria.
What Should Have Happened:
Participant should have been consented by delegated person, central labs should have been reviewed promptly, and ICD should have been checked for proper completion.
Why Did This Event Happen: 
During vacation period none of the 7 delegated Investigators was available. No back up plan was in place.
Immediate Actions Taken:
CRA will retrain site staff. There are no details yet on preventive and corrective actions. The CTM reminded CRA to inform and retrain PI, ask for a back-up plan in the future, ask for ICD to be fixed if possible for the participant to return to site, enter the deviation in Siebel, ask for a prompt central lab review, and CRA to review ICD modality of completion with Investigators in case they have questions. Sponsor was informed by CTM. 
Historical Review: 
PI Search: There are no previous quality events identified for this PI on review of the quality database
Assessment Comments: 
This appears to be a first occurrence, isolated event for this PI involving a single participant who is Screen Failed.  The submission indicates that this participant was consented by a staff member not delegated to do so, central labs were not reviewed promptly, and ICD was not properly completed.  It is noted that CRA will retrain site staff. There are no details yet on preventive and corrective actions. The CTM reminded CRA to inform and retrain PI, ask for a back-up plan in the future, ask for ICD to be fixed if possible for the participant to return to site, enter the deviation in Siebel, ask for a prompt central lab review, and CRA to review ICD modality of completion with Investigators in case they have questions.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</si>
  <si>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GCP_T1_Sep-2022_C4221015: PI Oversight, Informed Consent Process_Sartore-Bianchi, Andrea_ITA</t>
  </si>
  <si>
    <t>Informed Consent, Quality Oversight</t>
  </si>
  <si>
    <t>Inadequate consent process at the investigator site, Inadequate Principal Investigator quality oversight</t>
  </si>
  <si>
    <t>CT05-Informed Consent Document, No Process Assigned</t>
  </si>
  <si>
    <t>CRA retrain site staff.
No details yet on all preventice and corrective actions eventually taken.
CTM reminded CRA to:
-inform + retrain PI
- ask for a back-up plan in the future
- ask for ICD to be fixed if possible for pat to come back
-enter the deviation in Siebel
- ask for a prompt central lab review
- CRA to review ICD modality of completion with Investigators in case any doubts will be raised
Sponsor was informed by CTM.
Patient was screening failure since not meeting inclusion criteria.</t>
  </si>
  <si>
    <t>Karaszewska, Boguslawa</t>
  </si>
  <si>
    <t>Product Protocol Number: 
C4221015
Involved Party / Country:
PI: Karaszewska, Boguslawa (Site Number: 1135) / Poland
Awareness Date:
26-Sep-2022
Quality Event Description:
For study C4221015, Poland, site 1135 had an issue with IMPALA while dispensing the IP to subject 11351004; the site kept receiving impala error messages.   When attempting to call iGOT support they could not get through.   The PPD team tried to reach to iGOT support but could not get through either and by the time the PPD team called the site back they had already dispensed IP to participant 1341004 without the recorded IMPALA transaction (Visit date: 21 Sep 2022, C4D1 total of 15 kits).
What Should Have Happened:
Site should have waited and allowed PPD and iGOT team resolve the issue.
Why Did This Event Happen: 
Site did not want the participant to miss the dose and assigned kits.
Immediate Actions Taken:
DCR was submitted to iGOT on 21-Sep-2022 to record the transaction in IMPALA for the participant.  Site was Retrained on 21-Sep-2022 and 26-Sep-2022 to ensure they actively discuss issues with PPD staff prior to taking actions,  retraining and discussion was documented in site issue and site contact report.
CMCD Information:  
Start Date: 21-Sep-2022
End Date:  21-Sep-2022
Reason for Start/End Date: NA
CMCD Requirement Not Met: Site did not follow the IMPALA manual
Instead of CMCD Requirement: Assigned participant kits manually
Historical Review: 
PI Search: There was 1 previous unrelated quality event identified for this PI on review of the quality database
PR 2184522_GCP_Feb-2021_C3441021: IP Interruption Process; Medication Error_Karaszewska, Boguslawa
Assessment Comments: 
This quality event was submitted indicating CMCD non-conformance. No particular CMCD is referenced by the reporter of the event. The event appears to be a IP13-GSOP 4.0 Investigational Medicinal Product 01-May-2020.
The submission indicates that site  1135 had an issue with IMPALA when dispensing IP for participant 11341004 C4D1; the site was receiving error messages and could not reach iGOT support and neither could the managing CRO, PPD.  By the time PPD was able to get back in touch with the site, the site had manually dispensed kits to the participant.    It is noted that a DCR was submitted to the iGOT support team to assign the kits that were dispensed manually in IMPALA and the site staff was retrained on 21-Sep-2022 and 26-Sep-2022, which was documented in the issue log and the contact visit report.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</si>
  <si>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GCP_T1_Sep-2022_C4221015: CMCD: IP Management_Karaszewska, Boguslawa_POL</t>
  </si>
  <si>
    <t>Quality Oversight</t>
  </si>
  <si>
    <t>Inadequate Principal Investigator quality oversight</t>
  </si>
  <si>
    <t>To record the transaction in the IMPALA we have submitted the DCR on 21 Sep and Retrained the site on 21 and 26 Sep to ensure they actively discuss with PPD staff before taking such actions - retraining and discussion has been documented in site issues and site contact report</t>
  </si>
  <si>
    <t>Yuan, Ying</t>
  </si>
  <si>
    <t>Product Protocol Number:  
C4221015 
Involved Party / Country: 
PI: Yuan, Ying (Site Number: 1098) / China 
Awareness Date: 
27-Sep-2022 
Quality Event Description: 
Late SAE reporting. 
What Should Have Happened: 
The investigator should report SAE to Pfizer within 24 hours of awareness. 
Why Did This Event Happen:  
Participant has medical history of gastric ulcer before entry study, and during C1D15 5-FU treatment (21-Sep-2022), routine lab test indicated positive of fecal occult blood, Investigator considered it may relate to 5-FU and 5-FU was stopped and treatment received for gastric ulcer, per schedule participant should complete this visit and be discharged on 23-Sep-2022, but due to this AE, hospitalization continued until 26-Sep-2022. Participant will be hospitalized to receive study chemotherapy treatment per site routine practice, so investigator did not realize this AE caused prolongation of hospitalization, until CRA routine catch up with site on 27-Sep-2022. 
Immediate Actions Taken: 
1. SAE was reported on 28-Sep-2022.
2. CRA re-trained site regarding SAE definition and reinforce Pfizer SAE report requirement and timeline.
3. CRA escalated to SM and PI and requested the site staff to pay more attention to SAE issue
4. PD will be reported to EC for review.
5. CRA double checked with CRC for all other subjects to make sure there is no same issue in this site.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SAE reporting as a factor of concern.  For that reason also, the threshold of T3 is not selected for this issue, and threshold of T1 is assigned instead.</t>
  </si>
  <si>
    <t>GCP_T1_Sep-2022_C4221015: SAE Reporting_Yuan, Ying_CHN</t>
  </si>
  <si>
    <t>Xuning Wang</t>
  </si>
  <si>
    <t>1.SAE was reported on 28Sep2022.
2. CRA re-trained site regarding SAE definition and reinforce Pfizer SAE report requirement and timeline.
3. CRA escalated to SM and PI and requested the site staff to pay more attention to SAE issue
4. PD will be reported to EC for review.
5. CRA double checked with CRC for all other subjects to make sure there is no same issue in this site.</t>
  </si>
  <si>
    <t>Product Protocol Number: 
C4221015
Involved Party / Country:
PI: Goekkurt, Eray (Site Number: 1126) / Germany  
Awareness Date:
29-Sep-2022
Quality Event Description:
Participant 11261003 was randomized to treatment on 19-Aug-2022 despite central lab test result showing  an ALT2,5 UNL (exclusion criterion for the protocol if patient doesn't have liver metastasis); Local labs were slightly below the 2,5 UNL.  If both tests are available, eligibility should be based on central lab results (both tested on 15-Aug-2022). Participant 11261003 was randomized on 19-Aug-2022 and both results were available at that time.  Per the clinician, this is a deviation from the inclusion criteria.
What Should Have Happened:
Investigator should have based eligibility on the PPD central lab result.
Why Did This Event Happen: 
Investigator enrolled participant based on local lab results.
Immediate Actions Taken:
Clinical Team Manager (CTM) informed the global Pfizer study team and quality event was raised.  The CTM suggested that the CRA retrain the site staff on eligibility criteria, randomization and to document the retraining (especially to base eligibility on central lab results if available).  The CTM recommended that the CRA should add a PD to Siebel CTMS, inform the local Pfizer team, support the site for the next participant randomization by reviewing eligibility criteria.  CRA should evaluate if additional monitoring time is needed for the site.
Historical Review: 
PI Search: There were no previous similar Quality Events identified for this PI for this protocol upon review of quality database.
Assessment Comments: 
This appears to be a first occurrence, isolated event for this PI involving a single participant.  The submission indicates that site 1126 enrolled participant 11261003 according to the local lab results which is a deviation from the inclusion and exclusion criteria as the central lab results were available and resulted in an exclusionary range (ALT2,5 UNL).  It is noted that the CTM informed the global Pfizer team, recommended that the CRA add the PD to Siebel and retrain the site.  The CTM also suggested that the CRA evaluate the site monitoring needs and assistance with the next participants randomization.  It is recommended, if you have not already done so address the deviation of the exclusion criteria and site retraining.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</si>
  <si>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GCP_T1_Sep-2022_C4221015: Protocol Deviation: Inclusion / Exclusion Criteria_Goekkurt, Eray_DEU</t>
  </si>
  <si>
    <t>Actions for CTM (Clinical Team Manager):
-SQE raised
-global Pfizer informed
Actions suggested to CRA by the CTM:
-retrain site staff on eligibility criteria to be checked before patient is randomized and document retraining (especially to base eligibility on central lab results if available)
-inform Local pfizer
-support the site for the next patient before patient is actually randomized to review eligibility criteria
-enter a Protocol Deviation in Siebel
- evaluate additional monitoring time at site to check eligibility criteria</t>
  </si>
  <si>
    <t>Hacker, Ulrich Thorsten</t>
  </si>
  <si>
    <t>Product Protocol Number: 
C4221015 
Involved Party / Country:
PI: Hacker, Ulrich Thorsten (Site Number: 1364) / Germany
Awareness Date:
07-Oct-2022
Quality Event Description:
Pat 13641002 was randomized but exclusion criteria was met due to pulmonary artery embolism.
What Should Have Happened:
Participant 13641002 should not have been randomized.
Why Did This Event Happen: 
Screening CT scan was performed outside of screening window or period and a new one was performed soon after participant signed ICD; however the site staff didn't wait for result before treating the participant. CT scan 15-Aug-2022  resulted in no pulmonary embolism. Participant signed ICD on 20-Sep-2022, randomized on 21rst and was treated on 22-Sep-2022.  A new CT scan was performed the date of treatment and the CT scan results revealed the pulmonary embolism.
Immediate Actions Taken:
CTM informed Pfizer and clinician, and clinician communicated it was up to Investigator's clinical decision if leaving participant on treatment.   Site Monitor was asked to retrain site staff about eligibility criteria and screening procedure/timelines, document training and protocol deviation (PD).  CTM asked for confirmation on the other participants; if issues have been found with eligibility criteria, site monitor to double check and confirm.
Historical Review: 
PI Search: There are no previous quality events identified for this PI on review of the quality database.
Assessment Comments: 
This appears to be a first occurrence, isolated event for this PI involving a single participant.  The submission indicates that participant 13641002 was randomized and received treatment although they did not meet all inclusion criteria as the screening CT was performed out of window and showed a negative result for pulmonary embolism. On the day of treatment 22-Sep-2022, the site staff decided to repeat the CT scan, which revealed the pulmonary embolism. It is noted that the CTM informed Pfizer study team and the clinician communicated it was up to the Investigator’s clinical decision to leave the participant on treatment.  Site monitor was asked to retrain the site staff on eligibility and screen procedures / timelines, and to document the training and the deviation.  The site monitor was also asked to check if there was any issues with other participant eligibility.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If it is identified during investigation that these criteria are met, the Investigation Lead should hold a Potential PDAL meeting to determine if a PDAL should be distributed regarding this event.</t>
  </si>
  <si>
    <t>GCP_T1_Oct-2022_C4221015: Protocol Deviation: Inclusion / Exclusion Criteria_Hacker, Ulrich Thorsten_DEU</t>
  </si>
  <si>
    <t>CRA was asked to retrain site staff about eligibility criteria and screening procedure/timelines.
CTM informed Sponsor and clinician
CTM asked a PD to be tracked and retraining to be documented
CTM asked confirmation the other patient has been checked and no issue have been found for eligibility criteria. CRA to double check and confirm.
Clinician communicated it was up to Investigator's clinical decision if leaving patient on treatment.</t>
  </si>
  <si>
    <t>Strickland, Andrew</t>
  </si>
  <si>
    <t>Product Protocol Number: 
C4221015
Involved Party / Country:
PI: Strickland, Andrew (Site Number: 1138) / Australia
Awareness Date:
13-Oct-2022
Quality Event Description:
Participant 11381001 was reconsented SLI Main ICD v5 on 01-Aug-2022, prior to the ICD approval by RGO on 04-Aug-2022. The update in this ICD was to add clarification to contraception language (if hormonal contraceptives are used, an effective barrier method must be used in addition).
What Should Have Happened:
The participant should have been reconsented after the ICD was approved, including the RGO approval.
Why Did This Event Happen: 
Site staff oversight and miscommunication.
Immediate Actions Taken:
Site confirmed they have site procedures for ICF implementation, and will comply and improve as necessary. Site was retrained that participants can only be consented/re-consented with all approvals in place.
Historical Review: 
PI Search: There are no previous quality events identified for this PI on review of the quality database
Assessment Comments: 
This appears to be a first occurrence, isolated event for this PI involving a single participant.  The submission indicates that due to a misunderstanding and miscommunication participant 11381001 was reconsented SLI Main ICD v5 on 1-Aug-2022, which was prior to RGO approval on 04-Aug-2022.  It is noted that the site confirmed they have a procedure for ICF implementation and will comply or improve as necessary.  Site was retrained that participants can only be consented / reconsented once approvals are in place.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</si>
  <si>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GCP_T1_Oct-2022_C4221015: Informed Consent Process_Strickland, Andrew_AUS</t>
  </si>
  <si>
    <t>Site confirmed they have site procedures for ICF implementation, and will comply and improve as necessary. Site was retrained that subjects can only be consented/re-consented with all approvals in place.</t>
  </si>
  <si>
    <t>Product Protocol Number: 
C3651003
C3651011
C4221015
C4891001
C4891002
Involved Party / Country:
Vendor: PPD / Japan 
Awareness Date:
21-Oct-2022
Quality Event Description:
CRA Assessment (CRAA) simulation process has identified 5 users from CRO PPD Japan showing unusual behavior on 20-Oct-2022, namely, the 5 users had nearly the same monitoring notes. PPD line managers tried to confirm the matter and found that because the 5 CRAs did not understand the purpose and concept of the CRAA simulation, they discussed and shared the answers of the CRAA simulation, thinking that the simulation was a kind of SDV workshop-type training. Moreover, the trainer from PPD did not explain the purpose and process of the CRAA simulation before starting the course.
Lack of full understanding of the CRAA simulation process may have an impact on monitoring quality of the assigned study.
None of the five CRAs has started independent monitoring activities so far.
Assigned studies are C3651003, C3651011, C4221015, C4891001, and C4891002.
What Should Have Happened:
The CRAA simulation process should be completed independently and properly. The CRAs should not share their answers during and after the CRAA simulation process. CRO CRA trainer/line manager should explain the purpose and process of CRAA simulation before starting the course.
Why Did This Event Happen: 
The lack of understanding of CRAA simulation purpose and process caused this to happen.
Immediate Actions Taken:
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
Historical Review:  
Protocol Search: There were no previous similar Quality Events identified for Protocols C3651003, C3651011, C4221015, C4891001 and C4891002 on review of the quality database.
Process Search: There were two previous Quality Events associated with CRAA simulation practice, identified on review of the quality database.
PR 2215150_GCP_T1_Oct-2022_C3441021, C3441052, C3671013: CRA Assessment (CRAA) Simulation_EPS Corporation_JPN
[Two CRAs notes were similar for follow up CRAA course]
PR 2211732_GCP_T1_Jul-2022_B7541009; C3941005: CRA Assessment Simulation (CRAA)_Parexel International_JPN
[Two CRAs submitted CRAA reports with similar answers due to misunderstanding the Line Manager’s instruction to discuss findings with each other on unclear items.]
Assessment Comments: 
Based on eForm entries, there was no system set auto-threshold for this event. The submission indicates that 5 CRA’s did not complete the CRA simulation independently but shared their answers during and after the process. The PPD trainer did not adequately explain the purpose of the CRAA simulation process to the CRA’s. It is noted that none of the five CRA’s has started independent monitoring activities so far so the risk of impact to the studies they are assigned to is low. In addition Pfizer Japan has sent an e-mail regarding the CRAA simulation process to all Pfizer/CRO CRAs in Japan and PPD will create a preventive action for the CRAA simulation issue for newly assigned CRAs. There is no indication in the submission of significant adverse impact to study participants or study data, due to this event.  The event appears to be appropriate for the relevant PPD and Pfizer Japan colleagues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After assessment of this case, it does not appear that the event indicates a potential allegation of fraud or falsification but rather, appears to be an issue with the monitors’ CRAA simulation review and documentation practices. If the investigations find that GCP misconduct, fraud, or falsification has occurred; please resubmit providing detail on the impact.</t>
  </si>
  <si>
    <t>GCP_T1_Oct-2022_Multiple Protocols: CRA Assessment (CRAA) Simulation_PPD_JPN</t>
  </si>
  <si>
    <t>Training &amp; Qualifications</t>
  </si>
  <si>
    <t>Inadequate training material</t>
  </si>
  <si>
    <t>QMS07-Training and Qualifications</t>
  </si>
  <si>
    <t>Atsushi Kitamura</t>
  </si>
  <si>
    <t>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t>
  </si>
  <si>
    <t>Product Protocol Number: 
C4221015
Involved Party / Country:
PI: Sartore-Bianchi, Andrea (Site Number: 1026) / Italy
Awareness Date:
20-Oct-2022
Quality Event Description:
IP was moved from pharmacy to long term storage location without being temperature controlled.
What Should Have Happened:
IP should have been moved with temperature controlled conditions.
Why Did This Event Happen: 
Site staff thought this was not needed for very short transfers (.
Immediate Actions Taken:
CRA discussed with CTM and since site staff did not keep temperature recording for this very short transfer and also did not keep IP at the Pharmacy, CTM proposed to use certified thermal bags that keep temperature 2-8C for hours.
The following actions have been done:
-Sponsor agreed to provide certified thermal bags
-Sponsor agreed to use them both for IP to be kept at 2-8C and also for IP to be kept at RT (just for the 10 minute transport because for short term period room temperature IP can be kept at 2-8 degrees and this is not considered excursion)
-Contract was amended to include thermal bags
-Thermal bags shipped on 16-Sep-2022 after contract was signed
- site staff was requested to notify all shipments that arrived since April 2022 to Sep 2022 to GCS excursion team and get approval to be used (approval arrived in May 2022 for the first 2 shipments 1750755 and 1750892)
-PPD Team checking if site staff got the approval from excursion team also for the 3rd shipment which arrived in August (1763410). To be confirmed.
No participants are enrolled at this site. Just 1 participant which was a Screening failure.
Historical Review: 
PI Search: There was 1 previous unrelated quality event identified for this PI on review of the quality database
PR 2214467_GCP_T1_Sep-2022_C4221015: PI Oversight, Informed Consent Process_Sartore-Bianchi, Andrea_ITA
Assessment Comments: 
This appears to be a first occurrence, isolated event related to IP for this PI.  The submission indicates that IP was moved from pharmacy to long term storage location without being temperature controlled. It is noted that actions were taken as noted above, GCS approved the IP was requested (approval for 2 of 3 shipments received already; the 3rd is being confirmed), and no participants were enrolled, and no participants impacted.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</si>
  <si>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GCP_T1_Oct-2022_C4221015: IP Management_Sartore-Bianchi, Andrea_ITA</t>
  </si>
  <si>
    <t>CRA discussed with CTM and since site staff totally refusing to keep temperature recording for this very short transfer and also refused to keep IP at the Pharmacy, CTM proposed to use certified thermal bags that keep temperature 2-8C for hours.
The following actions have been done:
-Sponsor agreed to provide certified thermal bags
-Sponsor agreed to use them both for IP to be kept at 2-8C and also for IP to be kept at RT (just for the 10 minute transport because for short term period room temperature IP can be kept at 2-8 degrees and this is not considered excursion)
-Contract was amended to include thermal bags
-Thermal bags shipped on 16Sep22 after contract was signed
- site staff was requested to notify all shipments arrived since April 22 to Sep 22 to GCS excursion team and get ok to be used (ok arrived in May for the first 2 shipments 1750755 and 1750892)
-PPD Team checking if site staff get the ok from excursion team also for the 3rd shipment arrived in August (1763410). To be confirmed.
No patients enrolled at site. Jus 1 pat that was Screening failure.</t>
  </si>
  <si>
    <t>Michalski, Joel</t>
  </si>
  <si>
    <t>Product Protocol Number: 
C4221015
Involved Party / Country:
Vendor: PPD / United States 
Awareness Date:
31-Oct-2022
Quality Event Description:
Satellite sites were not visited and evaluated during the PTAV process by the PPD CRA and have not been visited to date. SEP discovered this when preparing for an upcoming oversight visit on 31-Oct-2022. It was reported to the Pfizer Study Manager on 31-Oct-2022 via email. One participant has been randomized and treated at one of the satellite sites (Methodist location). 3 of the 4 proposed satellite sites are listed on the current 1572.
What Should Have Happened:
All proposed satellite sites should have been visited and evaluated during the PTAV process and approved for use during the trial.
Why Did This Event Happen: 
Unknown.
Immediate Actions Taken:
Pfizer Study Manager was notified via email. SM was asked to follow up with the CRO and request that the CRA visit and review all proposed satellite sites.
Historical Review: 
Protocol /Vendor Search: There are no previous similar Quality Events identified for PPD in USA on this Protocol upon review of quality database.
Assessment Comments: 
The submission indicates that (3-4) satellite sites were not visited and evaluated during the PTAV process and have not been visited to date, while 1 participant has been randomized/treated at one of the satellite sites. It is noted that the SM will follow up with the CRO and request that the CRA visit and review all proposed satellite sites.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</si>
  <si>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Pre Trial Assessment: Satellite Sites_PPD_USA</t>
  </si>
  <si>
    <t>Valree Harbour-Marik</t>
  </si>
  <si>
    <t>Pfizer Study Manager was notified via email. SM was asked to follow up with the CRO and request that the CRA visit and review all proposed satellite sites.</t>
  </si>
  <si>
    <t>1013, 1034, 1036, 1038, 1144, 1148, 1171, 1230, 1307, 1341</t>
  </si>
  <si>
    <t>Creemers, G.J.M., Ferreiro Monteagudo, Maria Reyes, Gravalos Castro, Cristina, Maurel Santasusana, Joan, Olesen, Rene Kroejgaard, Polo Marques, Eduardo, Rosello Keranen, Susana, Ruiz Banobre, Juan, Safont Aguilera, Maria Jose, Schou, Jakob Vasehus</t>
  </si>
  <si>
    <t>Product Protocol Number: 
C4221015
Involved Party / Country:
Vendor:  PPD / Denmark, Spain, Netherlands
Awareness Date:
03-Nov-2022
Quality Event Description:
Participants were treated with Investigational Product prior to their Preparation Records being approved by Pfizer.
What Should Have Happened:
Where sites use their own Preparation Records for Investigational Product (IP) rather than the Pfizer template, approval should be received by the Sponsors Clinical Research Pharmacist.
Why Did This Event Happen: 
Some sites did provide samples of their preparation record template; however, they were generic samples and not study specific, so were rejected.  In other cases sites could not submit dummy patient data due to limitations in their system, or they just refused.  Due to CRO staff changes and rapid enrolment, there was a lack of follow up. The task was started and not completed.  There was a lack of understanding on what was required to be supplied to allow the pharmacist to complete their review properly.
Immediate Actions Taken:
The CRO CTM emphasized to the teams the need for urgency in completing these tasks.  They were also re-trained on what to ask the sites for (e.g  the IP on the sample forms had to be study specific in terms of the vial sizes/strength, all required elements of the Pfizer form should be included). The Site Relationship Partners (SRPs) have been involved to assist teams with timely collection and translation of the forms.
Historical Review: 
Vendor / Protocol Search: There were no previous similar Quality Events identified for the vendor in this Protocol upon review of the quality database.
Assessment Comments: 
The submission indicates that due to lack of follow up, CRO staff changes and rapid enrollment sites that use their own Preparation Records for Investigational Product template were not approved prior to participant dosing.    It is noted that the CRO CTM emphasized to the teams the need for urgency to complete the task, retrained the monitoring team on what elements should be included in the form and requested SRP involvement for timely collection and translation of the forms.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</si>
  <si>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Vendor Responsibilities: Investigational Product Management Template_PPD_DNK; ESP; NLD</t>
  </si>
  <si>
    <t>The CRO CTM emphasized to the teams the need for urgency in completing these tasks.  They were also re-trained on what to ask the sites for (e.g  the IP on the sample forms had to be study specific in terms of the vial sizes/strength, all required elements of the Pfizer form should be included).
The Site Relationship Partners (SRPs) have been involved to assist teams with timely collection and translation of the forms.</t>
  </si>
  <si>
    <t>Ruffinelli Rodriguez, Jose Carlos</t>
  </si>
  <si>
    <t>Deva, Sanjeev</t>
  </si>
  <si>
    <t>Product Protocol Number:  
C4221015
Involved Party / Country: 
PI: Deva, Sanjeev (Site Number: 1202) / New Zealand 
Awareness Date: 
07-Nov-2022 
Quality Event Description: 
IP shipment [Shipment # redacted] arrived at site 1202 on 03-Oct-2022 at 14:15. It was not placed in fridge immediately following receipt but was placed in fridge at 16:00 the same day. Pharmacist reported the issue to GCS on 10-Oct-2022. The shipment was acknowledged in IMPALA, without being marked as quarantined, site has only put them in physical quarantine. On 20-Oct-2022, GCS requested temperature data from the storage unit to which the material was transferred upon discovering the original storage error. On 26-Oct-2022, site pharmacist provided the requested information. 
Participant 12021001 was due to receive C2D15 medications on 27-Oct-2022, site pharmacist has not received confirmation from GCS on if stock has been approved for use after the temperature excursion, and only notified PI on 27-Oct-2022. After a careful discussion with pharmacy around the stability of marketed IP, PI used his clinical judgement and determined to use the study medication for the participant’s treatment. On 31-Oct-2022, GCS confirmed that the kits impacted are acceptable for use. Site pharmacy escalated to CRA and PI on 27-Oct-2022, on the same day, CRA has escalated/notified PPD CTM who escalated to Pfizer Study Managers. 
What Should Have Happened: 
- Site pharmacist should report temperature excursion immediately following awareness.
- Site pharmacist should have marked the impacted IP kits as quarantined in IMPALA.
- Site pharmacist should have escalated/notified PI and CRA earlier.
- IP should have been confirmed acceptable for use before giving to the participant. 
Why Did This Event Happen:  
Resourcing issue at site pharmacy.
Immediate Actions Taken: 
PI will look into the resourcing issue of the site pharmacists and closely oversee the pharmacy works. CRA will re-train the pharmacist on correct IP receipt process and importance of timely reporting/escalation of temperature excursion. 
Historical Review:  
PI Search: There are no previous quality events identified for this PI on review of the quality database
Assessment Comments:  
This appears to be a first occurrence, isolated event for this PI involving a single participant. The submission indicates that Site 1202 had IP that underwent a temperature excursion and was dispensed to one participant. The excursion was submitted to GCS by the site pharmacist on 10-Oct-2022; however, it appears the issue was not followed to conclusion and GCS did not confirm the kits impacted were acceptable for use until after dosing on 31-Oct-2022. It is noted that the CRA will re-train the staff on IP Management and escalation of Temperature Excursions. The QUEST eForm details do not indicate there has been significant adverse effect nor other medical concerns to participants’ safety due to the issue.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</si>
  <si>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GCP_T1_Nov-2022_C4221015: IP Temperature Excursion with Dosing_Deva, Sanjeev_NZL</t>
  </si>
  <si>
    <t>Inadequate handling, storage, availability, Inadequate preparation, dosing, dispensing error</t>
  </si>
  <si>
    <t>PI will look into the resourcing issue of the site pharmacists and closely oversee the pharmacy works. CRA will re-train the pharmacist on correct IP receipt process and importance of timely reporting/escalation of temperature excursion.</t>
  </si>
  <si>
    <t>Product Protocol Number: 
C4221015
Involved Party / Country:
PI: Michalski, Joel (Site Number: 1452) / United States
Vendor: PPD / United States
Awareness Date:
14-Nov-2022
Quality Event Description:
Site is not documenting the IP preparation and transport process to satellite sites: 
- IP preparation: The site is not completing the preparation records per Appendices 5-13 of the IP manual. The forms were completed for the first couple of doses, but were not completed for all doses due to insufficient training during a recent staffing change. SEP requested the forms be completed for all IP preparation going forward. The randomized participant (14521001) discontinued due to disease progression on 25-Oct-2022 and is no longer on IP. The site does not currently have any active participants. 
- IP transport: The site does not have a chain of custody document and has not been documenting the IP transport process between the main location and the satellite facility. It was determined that the site was not following the process as described in section 6.3. Special Handling of IP_OTHER HANDLING INFORMATION (pg. 55) of the IP Manual. The site was also not following their SOP that states that temperatures will be continuously monitored during transport (SOP provided to Pfizer SM via email on 15 Nov 2022). The pharmacy technician presented a blank template for a Temperature Transport Log; however, a completed log has not been found for the IP that was transported for this trial. The pharmacy technician believes it may have been misplaced during the staff change. 
- IP transport: The pharmacy technician also presented an example of a thermometer used during the described process that was found to be insufficient. It is a regular thermometer that does not have min/max capabilities. SEP requested the site acquire a data logger to use during the IP transport process to demonstrate continuous monitoring during transport. 
- IP transport: The pharmacy technician presented the container that ambient IP is transported in, and the container does not appear to be sufficient. It is a thinly insulated lunch bag type of container that may not provide sufficient insulation in the event of extreme temperatures. SEP suggested that all IP, whether ambient or refrigerated, should be transported in the Styrofoam coolers used for the transport of refrigerated IP.
What Should Have Happened:
The IP transport process should have been reviewed along with the satellite sites during the pre trial assessment (PTA)/site initiation visit (SIV) process. Additionally, the IP preparation records and transport documentation should have been reviewed during monitoring visits that occurred on 30-Jun-2022 (onsite) and 7-Sep-2022 (virtual).
Why Did This Event Happen: 
The IP transport process was not reviewed during the PTA/SIV process. PTAV was conducted on 29-Jul-2021 and the SIV was conducted on 30-Dec-2021. Please see QE: PR 2216560 for details.
Immediate Actions Taken:
SEP reviewed the deficiencies with the pharmacy technician, research manager, and PI during the oversight visit conducted on 14-Nov-2022. SEP requested that the site review their policies and procedures and implement a more robust process for documenting the IP preparation and transport process in order to demonstrate that the integrity of the IP is being maintained. SEP informed the Pfizer Study Manager by email on 15-Nov-2022. SEP to identify the issues in the Site Oversight Report as well.
Historical Review: 
Site Search: There is 1 previous Quality Event identified related to this site upon review of quality database.
PR 2216560_GCP_T1_Nov-2022_C4221015: Pre Trial Assessment: Satellite Sites_PPD_USA
[Satellite sites were not visited and evaluated during the PTAV process by the PPD CRA and have not been visited to date. SEP discovered this when preparing for an upcoming oversight visit on 31-Oct-2022. It was reported to the Pfizer Study Manager on 31-Oct-2022 via email. One participant has been randomized and treated at one of the satellite sites (Methodist location). 3 of the 4 proposed satellite sites are listed on the current 1572.]
Assessment Comments: 
The submission indicates that the site has not been properly documenting the IP preparation and transport process to satellite sites; the site does not currently have any active participants.  It is noted that the SEP reviewed the deficiencies with the pharmacy technician, research manager, and PI during the oversight visit conducted on 14-Nov-2022 and requested that the site review their policies and procedures and implement a more robust process for documenting the IP preparation and transport process in order to demonstrate that the integrity of the IP is being maintained.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</si>
  <si>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Site Documentation, IP Prep and Transport Processes_Michalski, Joel; PPD_USA</t>
  </si>
  <si>
    <t>Medicinal Product, Site Management and Monitoring</t>
  </si>
  <si>
    <t>Failure to detect/document, Inadequate accountability/record keeping</t>
  </si>
  <si>
    <t>SEP reviewed the deficiencies with the pharmacy technician, research manager, and PI during the oversight visit conducted on 14 Nov 2022. SEP requested that the site review their policies and procedures and implement a more robust process for documenting the IP preparation and transport process in order to demonstrate that the integrity of the IP is being maintained. SEP informed the Pfizer Study Manager by email on 15 Nov 2022. SEP to identify the issues in the Site Oversight Report as well.</t>
  </si>
  <si>
    <t>Product Protocol Number:  
C4221015
Involved Party / Country: 
Pfizer  / Global  
Awareness Date: 
15-Nov-2022 
Quality Event Description: 
eDMC member for C4221015, marked "no" to question 1 on Conflict of Interest (COI) Form. However, as part of additional checks that are run on the IOC Database, it was discovered that the member was Principal Investigator (PI) for the same product (C422) at the time he was recruited as a DMC member for the C4221015 EDMC (back in 2020). 
What Should Have Happened: 
eDMC member should have disclosed he was PI for the same product (C422) by marking 'yes' to question 1 and disclosed the details. 
Why Did This Event Happen:  
Don't have this information yet. Study Team will email eDMC member as to why PI information was not disclosed on COI form. When the due diligence checks were initially completed, information about them being PI for the same product was not available in Pfizer's system as that study was run by another company (Legacy Protocol CLGX818X2103 / C4221002) now completed (end date 11-Aug-2020), and was not uploaded to the system until 30-Dec-2021. Had that information been available at the time of the due diligence checks, the outcome would have been fail, thus rendering the HCP ineligible to participate on this EDMC without an approved exception. Study team did check the completed COI Form completed, but he did not report working on same product with the other company. 
Immediate Actions Taken: 
Study team to follow up with eDMC member as to why PI information was not disclosed on COI form. Study team will request member to complete an updated COI Form for file. 
CMCD Information:   
Start Date:  15-Nov-2022
End Date:   15-Nov-2022
Reason for Start/End Date: NA 
CMCD Requirement Not Met: eDMC member did not fully disclose all of his potential conflict of interest.
Instead of CMCD Requirement: eDMC member will be requested to complete a new COI form with correct information.
Historical Review:  
Protocol Search: There are no previous similar Quality Events identified for this Protocol upon review of quality database. 
Assessment Comments:  
This quality event represents CMCD non-conformance.  The CMCD that is referenced by the event reporter is:  CT22-GSOP 8.0 Independent Oversight Committees 15-Feb-2023.
Based on eForm entries, there was no system set auto-threshold for this event. The submission indicates that an eDMC member for C4221015, marked "no" to question 1 on the Conflict of Interest (COI) Form, however, it was discovered that the eDMC member was a PI for the same product (C422) at the time they were recruited for eDMC in 2020. It is noted that the Study team is following up with the eDMC member and will request them to complete an updated COI Form fully disclosing the potential conflict of interest.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</si>
  <si>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CMCD: Conflict of Interest (COI) Form_Pfizer_Global</t>
  </si>
  <si>
    <t>CT22-Independent Oversight Committees</t>
  </si>
  <si>
    <t>1) Study Team met with Legal on Nov 14, 2022 and determined this incident should be reported as a QE. 2) Study team to follow up with Zev Wainberg why PI information was was not disclosed on COI form. 3) Study team will request Wainberg to complete an updated COI Form for file.</t>
  </si>
  <si>
    <t>Matin, Khalid</t>
  </si>
  <si>
    <t>Product Protocol Number: 
C4221015
Involved Party / Country:
PI: Matin, Khalid (Site Number: 1048) / United States
Vendor: PPD / United States
Awareness Date:
18-Nov-2022
Quality Event Description:
During IMV CRA couldn't locate the signed ICD in EMR. CRA requested to be guided in EMR to be able to review signed ICD or ICD to be sent to CRA for review. ICD was sent by the Site via unsecured email.
What Should Have Happened:
ICD should have been uploaded in the EMR or secure email for CRA to be able to review during IMV.
Why Did This Event Happen: 
CRA didn't specify the way ICD can be sent by the site if they would prefer to send it. The Site didn't remove participant identifiers.
Immediate Actions Taken:
CRA notified the site on the issue and retrained them on the way the documents contain participant identifiers need to be sent for review in future or uploaded into EMR. Double deleted was done and IT will be contacted to verify the deletion.
Historical Review: 
PI Search: There was no Quality Events identified for this PI upon review of the quality database.
Assessment Comments: 
This appears to be a first occurrence, isolated event for this PI involving a single participant.  The submission indicates that during the IMV the CRA needed to review the ICD; however, the CRA didn't specify the way ICD could be sent by the site (if preferred) and the site sent it via regular email and did not remove participant identifiers.  It is noted that the CRA notified the site on the issue and retrained them on the way the documents containing participant identifiers need to be sent for review in future or uploaded into EMR. Double deletion was done and IT will be contacted to verify the deletion.  In addition, it is recommended that action be taken to remediate the event including ensuring all recipients have deleted the email, email information may be sent/resent with the participant names redacted, and the study team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</si>
  <si>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Communication Method_Martin, Khalid; PPD_USA</t>
  </si>
  <si>
    <t>Data Privacy, Quality Procedures</t>
  </si>
  <si>
    <t>Data privacy/confidentiality, Failure to detect or document issue (quality control)</t>
  </si>
  <si>
    <t>CP404, INV04-Investigational Site Management and Monitoring</t>
  </si>
  <si>
    <t>Kseniya Kololo</t>
  </si>
  <si>
    <t>CRA notified the Site on the issue and retrained them on the way the documents contain subject identifiers need to be sent for review in future or uploaded into EMR. Double deleted was done and IT will be contacted to verify the deletion.</t>
  </si>
  <si>
    <t>Product Protocol Number: 
C4221015
Involved Party / Country:
PI: Tie, Jeanne (Site Number: 1104) / Australia
Awareness Date:
28-Nov-2022
Quality Event Description:
Site Pharmacy of C4221015 study site 1104 discovered that Calcium Folinate prescribed for participant 11041010 at his C18D1 visit on 17-Nov-2022 was found in the fridge following the visit and notified the site team. Further investigation found that the leucovorin was given as charted/APP however hospital stock was inadvertently used. The correct dose was administered and there are no safety implications for the participant. From site's investigation, it is human error and not a systemic issue. Site informed CRA this incidence via email on 25-Nov-2022.
What Should Have Happened:
Calcium Folinate provided from the trial should be used instead of hospital stock.
Why Did This Event Happen: 
Discussion with the administering nurse found that they had missed the alert on the treatment plan reminding them to use the trial stock only for the trial participants and had not recalled from the handover.
Immediate Actions Taken:
Site lead SC has re-trained nurses that they should only use trial stock for Breakwater participants. To provide further preventative action, they have amended their clinical trial worksheets provided to the staff to provide an additional prompt to our nursing staff.
Historical Review: 
PI Search: There are 5 previous Quality Events identified for this PI upon review of quality database.
PR 2209738_GCP_T1_Jun-2022_C4221015: Informed Consent Process_Tie, Jeanne_AUS
PR 2198079_GCP_T1_Jun-2021_C4221015: Lab Requisition Form_Tie, Jeanne_AUS
PR 2187208_GCP_T1_Apr-2021_C4221015: Medication Error_Tie, Jeanne_AUS 
[due to a labelling error in pharmacy, 1 participant was given incorrect IP dose / underdose. ]
*PR 2183330_GCP_T1_Jan-2021_C4221015: CMCD: Medication Error_Tie, Jeanne_AUS 
[ 1 participant was administered commercial stock of calcium folinate instead of trial stock supplied from the sponsor. Specific actions to remediate were not provided in the QE submission]
PR 2182317_GCP_T1_Dec-2020_C4221015: CMCD: IP Management_Tie, Jeanne; PPD_AUS
[site had an issue with IP storage and temperature excursion reporting process, and was activated before the discrepancy regarding IP storage requirements was resolved]
Assessment Comments: 
There was one previous similar event for this site (PR 2183330) however it is not clear if/how that issue was remediated with the site. This submission indicates that Calcium Folinate was prescribed for 1 participant; the leucovorin was given as charted/APP however hospital stock was inadvertently used. The correct dose was administered and there are no safety implications for the participant. It is noted that the site staff has been retrained to only use trial stock for Breakwater participants and to provide further preventative action, the site has amended their clinical trial worksheets to provide an additional prompt to the nursing staff.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</si>
  <si>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GCP_T1_Nov-2022_C4221015: Medication Error_Tie, Jeanne_AUS</t>
  </si>
  <si>
    <t>Site lead SC has re-trained nurses that they should only use trial stock for Breakwater patients. To provide further preventative action, they have amended their clinical trial worksheets provided to the staff to provide an additional prompt to our nursing staff.</t>
  </si>
  <si>
    <t>Yamaguchi, Kensei</t>
  </si>
  <si>
    <t>Product Protocol Number: 
C4221015
Involved Party / Country:
PI: Yamaguchi, Kensei (Site Number: 1399) / Japan
Vendor: PPD / Japan 
Awareness Date:
24-Nov-2022
Quality Event Description:
Participant 13991002 (FOLFOXIRI arm) was administered aprepitant, which was a prohibited concomitant medication when co-administered with FOLFOXIRI under protocol amendment 3, so this corresponds to a protocol deviation. This protocol deviation continued for 7 visits since the investigator and study coordinators forgot that aprepitant co-administration with FOLFOXIRI is prohibited. 
Applicable visits: C1D1 to C4D1 (aprepitant was administered at every visit, total 7 visits) 
-Under the current protocol (protocol amendment 4) co-administration of aprepitant and FOLFOXIRI is allowed. Also, under the investigator opinion, there were no safety concerns nor AEs for participant 13991002 which occurred due to co-administration of aprepitant and FOLFOXIRI, so this deviation did not affect the participant's safety. 
18-Nov-2021: Right after site activation, the site monitor in charge at the time informed the investigator, pharmacist and the CRC that the concomitant use of aprepitant was prohibited in the treatment group using irinotecan(FOLFIRI and FOLFOXIRI), and the investigator, pharmacist, and the CRC understood this. 
15-Feb-2022: The investigator and CRC forgot that the concomitant use of of aprepitant with FOLFOXIRI was prohibited and during participant 13991002's C1D1 visit, the subject received aprepitant treatment. 
Reason why the investigator and CRC forgot the prohibited concomitant protocol rule: Although the CRC and investigator were aware that concomitant administration of encorafenib and aprepitant was to be used in caution, they forgot that co-administration of irinotecan and aprepitant was prohibited since some time had passed since the site staff received training from the site monitor right after site activation.
11-May-2022: Since Protocol Amendment 4 was approved by the IRB, the concomitant use of irinotecan and aprepitant became allowed, so aprepitant continued to be used.
22-Nov-2022: During the site monitors onsite visit, past data was confirmed and the protocol deviation was found. 
25-Nov-2022: The investigator's opinion on the situation and safety for subject 13991002 was confirmed, and the continued deviation was confirmed between 14-Feb-2022 to 11-May-2022 due to the sites misunderstanding of the protocol.
What Should Have Happened:
Since co-administration of aprepitant and FOLFIRI (as well as FOLFOXIRI) was prohibited under protocol amendment 3, aprepitant should not have been administered. 
Protocol Amendment 3 Section 6.6.3: Dose Modifications for Oxaliplatin, Irinotecan and 5-FU as Part of mFOLFOX6, FOLFIRI, and FOLFOXIRI Regimens
The use of aprepitant is prohibited for those participants receiving FOLFIRI.
Supplemental information: The co-administration of aprepitant and FOLFIRI (FOLFOXIRI) has been allowed since protocol version 4 (28-Feb-2022). Since the site's IRB approval date for Protocol amendment 4 is 11-May-2022, the co-administration of FOLFOXIRI and aprepitant no longer became a protocol deviation from 11-May-2022 (IRB approval date).
The site monitor should also have noticed that prohibited concomitant medication was being administered during onsite monitoring visits.
Why Did This Event Happen: 
Reason why the investigator and CRC forgot the prohibited concomitant protocol rule: Although the CRC and investigator were aware that concomitant administration of encorafenib and aprepitant was to be used in caution, they forgot that co-administration of irinotecan and aprepitant was prohibited since some time had passed since the site staff received training from the site monitor right after site activation.
Reason why the site monitor could not notice that a concomitant prohibited medication was being administered during the onsite visits: Participant 13991002 was not part of the SDV required population (only SDR was required) so the site monitor did not review participant 13991002's concomitant medications during the onsite visits. In addition, the site monitor did not confirm details of concomitant medications for 13991002 since none of the other participants at the site which were included in the SDV required population received concomitant medications that were prohibited.
Immediate Actions Taken:
Currently, the co-administration of FOLFOXIRI and aprepitant is allowed under protocol amendment 4, so aprepitant is still being administered for participant 13991002. 
The investigator confirmed that there were no AEs caused by the co-administration of aprepitant and FOLFOXIRI. 
Corrective action:
-It was confirmed that there were no other protocol deviations regarding prohibited concomitant medication administration at this site. 
-The site will report the protocol deviation following the site procedure
-The site monitor for site 1399 will be retrained by the Japan monitoring lead to make sure that study data which may potentially affect the participants safety will be confirmed onsite and remotely. 
Preventive action:
-The protocol deviation will be shared with other site monitors and re-training will be provided by the Japan monitoring lead to ensure that concomitant use of prohibited drugs is checked during monitoring.
-The issue will be shared with other sites and the sites will be re-trained on prohibited concomitant medication, and will be asked to be careful of prohibited medications and medications to be used with caution.
Historical Review: 
PI Search: There were no previous Quality Events identified for this PI on review of the quality database.
Protocol/Vendor Search: There were no previous related Quality Events identified for this protocol and vendor on review of the quality database.
Assessment Comments: 
Based on eForm entries, there was no system set auto-threshold for this event.  This appears to be a first occurrence, isolated event for this PI involving a single participant.  The submission indicates that one participant was administered a prohibited concomitant medication between 14-Feb-2022 to 11-May-2022. The site monitor did not identify the issue during monitoring activity.  It is noted that there was no safety impact to the subject and the conmed is no longer prohibited per protocol amendment 4 (PA4). PA4 was approved by the IRB on 11-May-2022. The site staff and the site monitor have been retrained. The other site monitors for the study will also be retrained to ensure conmeds are reviewed during monitoring. All sites will be retrained on prohibited conmeds.  The submission indicates there was no significant adverse impact to participant safety, nor other medical concerns.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</si>
  <si>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GCP_T1_Nov-2022_C4221015: Medication Error; Monitoring Responsibilities_Yamaguchi, Kensei; PPD_JPN</t>
  </si>
  <si>
    <t>Failure to a follow sponsor/third party/site controlled procedure (e.g., SOP or statistical analysis plan), Inadequate preparation, dosing, dispensing error</t>
  </si>
  <si>
    <t>INV04-Investigational Site Management and Monitoring, No Process Assigned</t>
  </si>
  <si>
    <t>Currently, the co-administration of FOLFOXIRI and aprepitant is allowed under protocol amendment 4, so aprepitant is still being administered for subject 13991002. 
The investigator confirmed that there were no AEs caused by the co-administration of aprepitant and FOLFOXIRI. 
Corrective action:
-It was confirmed that there were no other protocol deviations regarding prohibited concomitant medication administration at this site. 
-The site will report the protocol deviation following the site procedure
-The CRA for site 1399 will be retrained by the Japan monitoring lead to make sure that study data which may potentially affect the subjects safety will be confirmed onsite and remotely. 
Preventive action:
-The protocol deviation will be shared with other CRAs and re-training will be provided by the Japan monitoring lead to ensure that concomitant use of prohibited drugs is checked during monitoring.
-The issue will be shared with other sites and the sites will be re-trained on prohibited concomitant medication, and will be asked to be careful of prohibited medications and medications to be used with caution.</t>
  </si>
  <si>
    <t>Martinelli, Erika</t>
  </si>
  <si>
    <t>Product Protocol Number: 
C4221015
Involved Party / Country:
PI: Martinelli, Erika (Site Number: 1348) / Italy
Awareness Date:
30-Nov-2022
Quality Event Description:
Site staff submitted SAE Report with Full Date of Birth (DOB).
What Should Have Happened:
Site staff should have submitted SAE Report with only the year of Birth.
Why Did This Event Happen: 
Site staff didn't remind/check the instructions related to SAE form completion.
Immediate Actions Taken:
Site staff retrained on the correct completion of DOB field (only year to be included); Global Sponsor informed; Monitor was asked to:
1) retrain site staff involved in SAE form completion
2) ask site staff to send a FUP SAE form with the DOB field correctly completed
3) remind site staff to delete (double deletion) all e-mails sent containing the SAE forms with full DOB
4) inform PI
Historical Review: 
PI Search:  There were no previous Quality Events identified for this PI upon review of the quality database.
Assessment Comments: 
This is a first occurrence, isolated event for the site related to duties of confidentiality for one participant. The submission indicates the site submitted a SAE report with the participant’s complete DOB rather than the year only; contrary to Pfizer policy (Corporate Policy 404- Protecting the Privacy of Personal Data) and the duty to protect participant confidentiality. It is noted that the site staff was retrained on SAE form completion to maintain the privacy of participants’ personal data/information; and instructed to send a SAE Follow up report with the corrected DOB. The site staff will delete all emails that contained the SAE forms with the participant’s full DOB. It is recommended, if it has not already been done, that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</si>
  <si>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GCP_T1_Nov-2022_C4221015: Participant Confidentiality_Martinelli, Erika_ITA</t>
  </si>
  <si>
    <t>-Site staff retrained on the correct completion of DOB field (only year to be included)
-Global Sponsor informed
-CRA was asked to:
1) retrain site staff involved in SAE form completion
2) ask site staff to send a FUP SAE form with the DOB field correctly completed
3) remind site staff to delete (double deletion) all e-mails sent containing the SAE forms with Full DOB
4) inform PI</t>
  </si>
  <si>
    <t>Product Protocol Number: 
C4221015
Involved Party / Country:
PI: Maiello, Evaristo (Site Number: 1253) / Italy
Awareness Date:
30-Nov-2022
Quality Event Description:
2 Investigators not delegated on the study have completed study related tasks
What Should Have Happened:
Investigators should have been officially trained and delegated prior to proceeding with study related tasks.  Local Pfizer raised the issue after an oversight issue in July.
Why Did This Event Happen: 
Documentation was countersigned by a delegated person and site staff thought this was sufficient.
Immediate Actions Taken:
The monitor retrained site staff and PI on 15-Sep-2022 and PI agreed to officially delegate the 2 Investigators.  Site staff was reminded that only delegated staff can complete study related tasks. Delegation Log was updated on 20-Sep-2022.
CMCD Information:  
Start Date: 30-May-2022
End Date:  20-Sep-2022
Reason for Start/End Date: NA
CMCD Requirement Not Met: People should be officially trained and delegated before completing any study specific related tasks.
Instead of CMCD Requirement: Investigators not officially delegated have completed study related tasks and documentation for study patients.
Historical Review: 
PI Search: There was 1 previous unrelated quality event identified for this PI on review of the quality database.
PR 2208254_GCP_T1_May-2022_C4221015: Medication Error; IP Supply Management_Maiello, Evaristo; PPD_ITA
Assessment Comments: 
This quality event represents CMCD non-conformance.  The CMCD that is referenced by the event reporter is: INV02-GSOP 5.0 Investigational Site Selection, Preparation, and Initiation 01-Jun-2022; however, this appears to be a non-conformance of CT33-GSOP 4.0 Study Training 01-Jul-2020.
The submission indicates that documentation countersigned by a delegated person at the site was believed to be sufficient for the two investigators that performed study related tasks but were not delegated.  It is noted that the monitor retrained site staff and the PI on 15-Sep-2022, PI agreed to officially delegate the 2 Investigators.  Site staff was reminded that only delegated staff can complete study related tasks. The delegation Log was updated on 20-Sep-2022.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</si>
  <si>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GCP_T1_Dec-2022_C4221015: CMCD:  Study Training and Delagation_Maiello, Evaristo_ITA</t>
  </si>
  <si>
    <t>Training not completed or documented in a timely manner</t>
  </si>
  <si>
    <t>CRA retrained site staff and PI on 15Sep22 and PI agreed to officially delegate the 2 Investigators.
Site staff was reminded that only delegated staff can complete study related tasks.
Delegation Log was updated on 20Sep22.</t>
  </si>
  <si>
    <t>Product Protocol Number: 
C4221015
Involved Party / Country:
Pfizer / Spain
Awareness Date:
04-Aug-2022
Quality Event Description:
In the initial EC/RA submission of the Protocol C4221015 the planned number of participant stated in the Annex 1 for Spain was 6 according to Safety Lead In recruitment expectations.  In August 2022 the SRP detected that the number of planned participants in Annex 1 Spain was not updated according to Phase 3 recruitment expectations (at that date number of participants dosed in Spain was 47).  According to EU/Spain regulations if the change in number of clinical trial participants is significant, it is a substantial amendment and initial documents Annex 1 must be amended. Now, 4 months later, number of participants recruited has increased to 68 and no notification or amendment has been done.
What Should Have Happened:
This is a substantial amendment given that this increase of planned participants.  In Annex I it is considered as major and common practice is to consider any increase over 10%-15% as substantial. Initial documents should have been amended as soon as possible after awareness.
Why Did This Event Happen: 
Expected number of participants per country in Annex 1 is not being reviewed in each amendment.
Immediate Actions Taken:
Submit this amendment in January with PA5.
CMCD Information:  
Start Date: 09-Dec-2022
End Date:  09-Dec-2022
Reason for Start/End Date: NA
CMCD Requirement Not Met: Before implementation of a substantial amendment, the sponsor must inform the ECs of the amendment and also notify the RA of the concerned Member State(s)
Instead of CMCD Requirement: delay in submission of this substantial amendment
Historical Review: 
Protocol Search:  There are no previous similar Quality Events identified for this Protocol upon review of quality database.
Assessment Comments: 
This quality event represents CMCD non-conformance.  The CMCD that is referenced by the event reporter is: REG03-GSOP 6.0 Clinical Trial Applications 06-Feb-2023; however, the effective version is 01: REG03-GSOP 5.0 Clinical Trial Applications 23-Aug-2021. 
This appears to be a first occurrence, isolated event for this Protocol involving a single country.  The submission indicates that the expected number of participants per country in Annex 1 is not being reviewed during each amendment; therefore, the current Annex 1 for Spain on C4221015 currently states expected participants 6. However, to date number of participants recruited has increased to 68 and no notification or amendment has been done and it is expected that a notification or amendment is completed for an increase of 10-15%.  It is noted that an amendment to the Annex 1 will be submitted in January 2023 with PA 5.  Please resubmit a quality event if the RA in Spain finds there is a negative impact due to late amended Annex 1 document.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</si>
  <si>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GCP_T1_Dec-2022_C4221015: CMCD: Spain EC RA Annex 1 Submission_Pfizer_ESP</t>
  </si>
  <si>
    <t>Submissions</t>
  </si>
  <si>
    <t>Inadequate regulatory submission timeliness</t>
  </si>
  <si>
    <t>REG03-Clinical Trial Applications</t>
  </si>
  <si>
    <t>Submit this amendment in January together with PA5</t>
  </si>
  <si>
    <t>Ferreiro Monteagudo, Maria Reyes</t>
  </si>
  <si>
    <t>Product Protocol Number: 
C4221015
Involved Party / Country:
PI: Ferreiro Monteagudo, Maria Reyes (Site Number: 1013) / Spain
Awareness Date:
08-Dec-2022
Quality Event Description:
Biobank blood samples (4ml) were taken for 2 participants without their consent and sent to the Central Laboratory.
What Should Have Happened:
The samples should not have been collected since the participants expressed on the consent form that they did not want to supply sample for the biobank.
Why Did This Event Happen: 
Per protocol, these samples are mandatory 'as local regulations and IRBs/ethics committees allow.'  In Spain the ethics committee specified that the participants must specifically sign to indicate agreement to provide these samples. The Cycle 1 lab kits all contain tubes enabling collection of the sample and therefore sites much pay attention and not collect samples that the patient didn't consent to.  The site overlooked this and filled all collection tubes.
Immediate Actions Taken:
The CRA discussed this error with the site staff and re-trained them.  The CTM escalated to the Pfizer Study manager who notified the Central Laboratory; they confirmed that the samples would be destroyed and not sent for long term storage.
Historical Review: 
PI Search: There are no previous quality events identified for this PI on review of the quality database.
Assessment Comments: 
This appears to be a first occurrence, isolated event for this PI involving a single participant.  The submission indicates that site 1013 overlooked two participants’ preferences in the consent form and filled all collection tubes provided in the lab kits although they did not consent to have biobank samples.  It is noted that the CRA discussed the error with the site staff and re-trained them.   The CTM escalated to the Pfizer Study Manager who notified the Central Laboratory; they confirmed that the samples would be destroyed and not sent for long term storage.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</si>
  <si>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GCP_T1_Dec-2022_C4221015: Sample Management_Ferreiro Monteagudo, Maria Reyes_ESP</t>
  </si>
  <si>
    <t>CT29-Management of Clinical Study BioSpecimens</t>
  </si>
  <si>
    <t>The CRA discussed this error with the site staff and re-trained them.  The CTM escalated to the Pfizer Study manager who notified the Central Laboratory; they confirmed that the samples would be destroyed and not sent for long term storage.</t>
  </si>
  <si>
    <t>Product Protocol Number:  
C4221015 
Involved Party / Country: 
Pfizer  / Netherlands  
Awareness Date: 
04-Nov-2022
Quality Event Description: 
For each study, an on-site oversight visit is completed at each site within 6 months after the first participant is randomized or dosed (whichever comes first as defined by the protocol).  The SERP missed the compliance deadline due to site resourcing issues and site and CRA availability. 
What Should Have Happened: 
The SERP should have made every effort to conduct the visit, independent of the CRA if necessary. If this was not possible the SERP should have alerted the Line manager so that a CMCD exception could have been submitted. 
Why Did This Event Happen:  
SERP tried to schedule the visit on-site many times and wasn't successful until the deadline had already passed. SREP was able to book the first possible spot at the site on 22-Nov-2022. This was 2.5 weeks after the official deadline had passed. 
Immediate Actions Taken: 
The SERP was retrained on the SOP and the issue was discussed with their LM. The SERP will check ROVR and SQRD at a minimum of monthly to ensure non-adherence is prevented in future. Calendar reminders have been set to perform this activity. 
CMCD Information:   
Start Date:  04-Nov-2022
End Date:   22-Nov-2022
Reason for Start/End Date: NA 
CMCD Requirement Not Met: An on-site oversight visit is conducted at each investigative site within 6 months after the first subject is randomized or dosed (whichever comes first as defined by protocol) at each site. If the study is shorter than 6 months in duration, or if a study terminates early, the commitment visit must be completed by the close-out of the site.
Instead of CMCD Requirement: The visit was conducted but 2.5 weeks later than the 6 month deadline (22-Nov-2022 instead of 04-Nov-2022).
Historical Review:  
Protocol Search: There are no previous similar Quality Events identified for this Protocol upon review of quality database. 
Assessment Comments:  
This quality event represents CMCD non-conformance.  The CMCD that is referenced by the event reporter is:  INV04-GSOP 4.0 Investigational Site Management and Monitoring 01-Jun-2022.
Based on eForm entries, there was no system set auto-threshold for this event. The submission indicates that the onsite oversight visit for the study was completed 2.5 weeks later than the 6 month deadline by the SERP due to site and CRA availability. It is noted that the SERP was re-trained on INV04-GSOP 4.0 Investigational Site Management and Monitoring 01-Jun-2022 and minimum monthly checks and calendar reminders were implemented to ensure non-adherence is prevented in future.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</si>
  <si>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GCP_T1_Dec-2022_C4221015: CMCD: Onsite Oversight Visits_Pfizer_NLD</t>
  </si>
  <si>
    <t>Site Management and Monitoring</t>
  </si>
  <si>
    <t>Failure to follow study specific monitoring plan/ requirements</t>
  </si>
  <si>
    <t>INV04-Investigational Site Management and Monitoring</t>
  </si>
  <si>
    <t>Stefanie Smit</t>
  </si>
  <si>
    <t>The SERP was retrained on the SOP and the issue was discussed with their LM. The SERP will check ROVR and SQRD at a minimum of monthly to ensure non-adherence is prevented in future. Calendar reminders have been set to perform this activity.</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</si>
  <si>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</si>
  <si>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</si>
  <si>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Gap Analysis-A Gap Analysis was conducted. Since this issue was due to the information regarding Argentinian Ministry of Health Regulation 2940/2020 not being added to the ICD Content Library for Argentina, the solution was the addition of the instruction to include Privacy Supplement Option C for all Argentinian Country Level ICDs to the ICD Content Library for Argentina. For ongoing studies in Argentina, the ICD will not be amended to include Privacy Supplement Option C (exceptions: C4391001 and C3671013 which were already amended to add Privacy Supplement Option C) .  For all new studies, the ICD will include Privacy Supplement Option C, and for competed studies after Argentinian Ministry of Health Regulation 2940/2020 became effective, the ICD will not be amended and participants will not be reconsented.-The scope of this case only impacts future studies with sites planned in Argentina.-Not Required.</t>
  </si>
  <si>
    <t>Compliance Requirements - Country Specific Requirements, Informed Consent</t>
  </si>
  <si>
    <t>Failure to follow country-specific requirements, Inadequate consent document content</t>
  </si>
  <si>
    <t>Maria Alejandra Di Lorenzo</t>
  </si>
  <si>
    <t>This was locally shared with DCSO, CTMs and SRP who work in ICD customization/ review, to be aware of the issue and wait for further instructions / Correct on going customizations. 
A query to CT05-GSOP was issued to advice for remediation actions for all studies and preventive actions in training mostly.</t>
  </si>
  <si>
    <t>CT05 process lead will upload information regarding the selection of Privacy Supplement Option C to the ICD Content Library for Argentina.</t>
  </si>
  <si>
    <t>Smith, Ellen</t>
  </si>
  <si>
    <t>O Connor, Juan Manuel</t>
  </si>
  <si>
    <t>Product Protocol Number:  
C4221015 
Involved Party / Country: 
PI: O’Connor, Juan Manuel (Site Number: 1319) / Argentina 
Awareness Date: 
12-Jan-2023 
Quality Event Description: 
On 11-Jan-2023, Sponsor and CRO agreed on putting Argentina Site 1319 PI O'Connor on an Enrollment Hold, as they have issues with Data Management, unreported AEs, Protocol Deviations, and several findings by CRA on IMVs performed since Sep22. Argentinian SEP confirmed these issues in OVs performed in Oct22 and Jan23. Both tried to work with site on these issues, showing no improvement. Site is the highest enroller in Argentina, with 4 active participants and 2 in screening as of 11-Jan-2023. 
What Should Have Happened: 
Issues found should had been resolved by site in Nov22, Dec22 or Jan23, but they failed to improve their performance. 
Why Did This Event Happen:  
This lack of improvement could be due to high workload of site staff, and SC change during the study.
Immediate Actions Taken: 
Pfizer Study Manager and PPD CTM agreed on having an Enrollment Hold until performance is improved- an Enrollment Hold Letter was drafted and approved by SM. An Action Plan was drafted to guide site on how to improve performance, to be sent to site with Enrollment Hold letter by 12-Jan-2023. 
Historical Review:  
PI Search: There are no previous quality events identified for this PI on review of the quality database
Assessment Comments:  
This appears to be a first occurrence, isolated event for this PI. It is clear that each of the issues noted [data management, unreported AEs, PDs, etc.] do need to be remediated with the site and PI. It is noted that Pfizer and PPD have agreed to hold enrollment until performance is improved, with an Enrollment Hold Letter being drafted and sent to site by 12-Jan-2023. Based on submitted information these issues should be possible for the monitor to remediate with the site;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there was discussion and retraining with the site regarding the identified issues,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</si>
  <si>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GCP_T1_Jan-2023_C4221015: PI Oversight_O’Connor, Juan Manuel_ARG</t>
  </si>
  <si>
    <t>Pfizer Study Manager and PPD CTM agreed on having an Enrollment Hold until performance is improved- an Enrollment Hold Letter was drafted and approved by SM.
An Action Plan was drafted to guide site on how to improve performance, to be sent to site with Enrollment Hold letter by 12Jan23.</t>
  </si>
  <si>
    <t>Product Protocol Number:  
C4221015 
Involved Party / Country: 
PI: Hamaguchi, Tetsuya (Site Number: 1411) / Japan 
Awareness Date: 
12-Jan-2023 
Quality Event Description: 
For participant 14111004, C1D1 visit (09-Nov-2022), [redacted] was used between 09-Nov-2022 and 11-Nov-2022 and the dose of [redacted] should have been reduced according to protocol 6.5.3.6.
06-Jan-2023: the CRC contacted the CRA to ask if [redacted] could be used to reduce the symptoms of the AE for participant 14111004.
10-Jan-2023: CRA checked the study's medical-related inquiry system and found that per medical monitors response to a different sites inquiry, informed CRC that dose reduction of [redacted] would be required when a moderate CYP3A4 inhibitor was used. However, the CRC reported to the CRA that participant 14111004 had already received [redacted] without reducing the dose of [redacted] on 09-Nov-2022. 
10-Jan-2023: the CRA asked the medical monitor if dose reduction of [redacted] was necessary when using [redacted] in participant 14111004s case and also to re-clarify since it could not be found anywhere whether [redacted] 
12-Jan-2023: The medical monitor responded that dose reduction of [redacted] was necessary. Therefore, this was found to be a deviation from the protocol.
What Should Have Happened: 
When moderate CYP3A4 inhibitors are used, dose reduction of [redacted] was required according to protocol 6.5.3.6 as below.
Protocol 6.5.3.6. Antiemetics
"The following antiemetics are allowed, but should be used with caution when administered with [redacted] as they may affect [redacted] exposure. Moderate CYP3A4 inhibitor is allowed in participants but [redacted] should be reduced for 3-5 half-lives" 
Why Did This Event Happen:  
The investigator and CRC understood that moderate CYP3A4 inhibitors are concomitant medications to be used with caution and [redacted] dose had to be reduced, but they could not identify that [redacted] is a moderate CYP3A4 inhibitor because they checked the CYP-related website listed on Protocol 6.5.2, 6.5.3.6 and the list of prohibited concomitant medications, and none of them clearly stated that [redacted] is a moderate CYP3A4 inhibitor.
Protocol 6.5.2. Prohibited Concomitant Therapy:
"Concomitant strong systemic CYP3A4 inhibitors, which could significantly increase the exposure of [redacted] and [redacted]. For tabulated prohibited CYP substrates, inhibitors and inducers, please consult the following open-access websites: https://www.fda.gov/drugs/developmentapprovalprocess/developmentresources/druginteractionslabeling/ucm093664.htm and https://drug-interactions.medicine.iu.edu/MainTable.aspx
Additional information on CYP substrates, inhibitors and inducers can be found on the following subscription-based website: https://didb.druginteractioninfo.org/
Concomitant moderate or strong systemic CYP3A4 inducers, which could significantly decrease the exposure of [redacted] and [redacted]. " 
Immediate Actions Taken: 
Corrective action: 
-SAE (anorexia) occurred immediately after C1D1 on 12-Nov-2022. The investigator however denies that the SAE was due to administration of [redacted] without reducing the dose of [redacted] and there was no safety concern due to this incident. Currently, [redacted] is not administered, but if [redacted] is used in the future, the CRA requested the investigator to reduce the [redacted] dose.
-The site will document the deviation following the site procedure.
Preventive action:
- The CRA will ask the medical monitor whether there are any other reference tools for CYP-related drugs other than the website listed in the protocol and the package insert for each drug, and if there are additional tools, these will be shared with the sites and also reflected in the list of prohibited drugs list.
-Investigators and CRCs will be retrained to check the study's medical-related inquiry system for similar inquiries at other sites if there are unsure of the CYP category for each drug or contact the CRA before using a drug if they are unsure whether the drug can be used, or should be used with precaution. 
Historical Review:  
PI Search: There were 3 previous Quality Events identified for this PI upon review of quality database. 
PR 2206918_GCP_T1_Apr-2022_C4221015: CD-R Submission_Hamaguchi, Tetsuya_JPN
PR 2206859_GCP_T1_Apr-2022_C4221015: Informed Consent Process_Hamaguchi, Tetsuya, PPD_JPN
PR 2205993_GCP_T1_Apr-2022_C4221015: Informed Consent Process; Sample Collection_Hamaguchi, Tetsuya; PPD_JPN
Assessment Comments:  
This appears to be a first occurrence, medication error related event for this PI involving a single participant.  The submission indicates that the site did not follow the protocol and did not modify the IP dose based on when a moderate CYP3A4 inhibitor was used. The dose was not modified correctly between 09-Nov-2022 and 11-Nov-2022. It is noted that the PI noted there was no safety concern due to this incident, the site have been retrained regarding protocol required dose modifications and protocol deviation noted.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</si>
  <si>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GCP_T1_Jan-2023_C4221015: Medication Error: Concomitant Therapy_Hamaguchi, Tetsuya_JPN</t>
  </si>
  <si>
    <t>Corrective action: 
-SAE (anorexia) occurred immediately after C1D1 on 12Nov2022. The investigator however denies that the SAE was due to administration of alocalis without reducing the dose of encorafenib and there was no safety concern due to this incident. Currently, alocalis is not administered, but if alocalis is used in the future, the CRA requested the investigator to reduce the encorafenib dose.
-The site will document the deviation following the site procedure.
Preventive action:
- The CRA will ask the medical monitor whether there are any other reference tools for CYP-related drugs other than the website listed in the protocol and the package insert for each drug, and if there are additional tools, these will be shared with the sites and also reflected in the list of prohibited drugs list.
-Investigators and CRCs will be retrained to check the study's medical-related inquiry system for similar inquiries at other sites if there are unsure of the CYP category for each drug or contact the CRA before using a drug if they are unsure whether the drug can be used, or should be used with precaution.</t>
  </si>
  <si>
    <t>Burge, Matthew</t>
  </si>
  <si>
    <t>Product Protocol Number: 
C4221015
Involved Party / Country:
Vendor: Personalis Inc. / United States 
Awareness Date:
24-Jan-2023
Quality Event Description:
C4221015, sample analysis at Personalis INC, sample mismatch.
For participant 12691006, tissue (10 slides) and paired normal blood samples were sent to Personalis for analysis.
Tissue samples were shipped from Cellcarta_HistogeneX and blood sample was shipped from PPD in Dec 2022.
Personalis reported mismatched genetic result between tissue and blood.
Site# 1269
Participant ID: 12691006
PPD barcode number: Tissue 1GN00956815; blood 1GN34777227
HistogeneX accession numbers for 10 slides 
HGX Accession Number
15471198C0003S
15471198C0004S
15471198C0006S
15471198C0007S
15471198C0008S
15471198C0009S
15471198C0010S
15471198C0011S
15471198C0012S
15471198C0013S
What Should Have Happened:
If paired samples then genetic result between tissue and blood should match.
Why Did This Event Happen: 
Unknown
Immediate Actions Taken:
Requested Personalis to provide image of sample label for slides and blood tube
CMCD Information:  
Start Date: 
23-Jan-2023
End Date: 
24-Jan-2023 
Reason for Start/End Date: NA
CMCD Requirement Not Met:
Follow Standard Operating Procedure
Instead of CMCD Requirement:
Standard Operating Procedure should have been followed to ensure sample identity
Historical Review: 
Vendor Search: There are no previous Quality Events for this vendor on review of the quality database
Assessment Comments: 
This quality event represents CMCD non-conformance.  The CMCD that is referenced by the event reporter is: QMS09-GSOP 6.0 Vendor Engagement 01-Mar-2023 however the event is likely related to CT29-GSOP Management of Biospecimens
Based on eForm entries, there was no system set auto-threshold for this event. The submission indicates that the vendor Personalis Inc reported mismatched genetic match between tissue and blood samples for one participant from site 1269.  It is noted that tissue samples were shipped from Cellcarta_HistogeneX to Personalis and blood samples from PPD Labs to Personalis. It is unclear if the samples were mislabelled by the site or any of the vendors involved or the samples were mixed up with other samples at Personalis. The study team has requested Personalis provide images of the sample labels for slides and blood tube to investigate the issue further.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</si>
  <si>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GCP_T1_Jan-2023_C4221015: CMCD: Sample Analysis; Sample Management_Personalis Inc_USA</t>
  </si>
  <si>
    <t>Sun Hee Rosenthal</t>
  </si>
  <si>
    <t>Requested Personalis to provide image of sample label for slides and blood tube</t>
  </si>
  <si>
    <t>Product Protocol Number: 
C4221015
Involved Party / Country:
Vendor: Calyx / Global
Awareness Date:
02-Feb-2023
Quality Event Description:
Calyx is the imaging vendor who review the scans submitted by the sites on the required timepoints. Calyx generate queries to the sites if there are missing information or discrepancies before reviewing the scans. Calyx switched their mailbox from Parexel.com to Calyx.ai. However, Calyx sent queries to the sites with their old mailbox which was not a mailbox that had been monitored. That issue generated a delay in the handling of the queries replied by the sites by Calyx and that impacted the review of the scans in the required timelines.   In January, the operational study team realized that issue when several sites told us that they already replied to the queries, but the queries were still open.  Calyx PM was informed of this issue and escalated it to the senior leadership. They placed a system change request to have this updated.  Team is trying to find out more information from the vendor concerning the impact of this issue (duration during which PD verification might have been delayed, number of subjects impacted, etc.).
What Should Have Happened:
All participants who have progressive disease (PD) determined by the local Investigator require an expedited tumor response review by the Blinded Independent Committee Review (BICR). The BICR will perform the review of radiological data and the results of the reading will be communicated to the site within 5 business days from BICR confirmation on acceptable image receipt. This delay in the resolution of some queries generated a delay in the expedited blinded review requested by the sites for the progressive disease (PD) verification because all queries must be solved and closed before performing the blinded review. The time frame to send the notification to the sites (5 business days) might have been longer for some participants due to that issue.
Why Did This Event Happen: 
When Calyx switched from Parexel.com to Calyx.ai, originally, the Parexel.com domain was being routed to Calyx.ai domain. The vendor is currently investigating why there is an issue in this process to identify the root cause.
Immediate Actions Taken:
Calyx PM was informed of this issue and escalated it to the senior leadership. They placed a system change request to have this updated. On 19-Jan-2023, the PM confirmed that the Parexel.com mailbox is being monitored. She specified that a lapse was identified with regard to study mailbox monitoring. When Calyx switched from Parexel.com to Calyx.ai, originally, the Parexel.com domain was being routed to Calyx.ai domain. This is officially not occurring anymore. The PM does not have a date when this halted, but she asked the senior leadership to see if a date can be identified. They are investigating further. On 02-Feb-2023, Calyx PM confirmed that the mailbox domain has been updated to the correct Calyx.ai. All correspondence to the sites will come from the Calyx.ai account. Correspondence previously sent from Parexel.com should not be replied to via email. Sites will be asked to use the vendor platform or the Calyx.com mailbox to reply to the queries. Calyx PM will have all queries that are unresolved and were generated in the month of January, re-issued so that sites can reply to queries via email.
Historical Review: 
Protocol  Vendor / Key Word Search: There are no previous similar Quality Events identified for this Protocol  for Calyx upon review of quality database.
Assessment Comments: 
The submission indicates that Calyx sent queries to the sites with their old mailbox which was not a mailbox that had been monitored; this generated a delay in the handling of the queries replied by the sites by Calyx and that impacted the review of the scans in the required timelines.   It is noted that the issue is being remediated as follows: Calyx PM was informed of this issue and escalated it to the senior leadership. They placed a system change request to have this updated. On 19-Jan-2023, the PM confirmed that the Parexel.com mailbox is being monitored. She specified that a lapse was identified with regard to study mailbox monitoring. When Calyx switched from Parexel.com to Calyx.ai, originally, the Parexel.com domain was being routed to Calyx.ai domain. This is officially not occurring anymore. The PM does not have a date when this halted, but she asked the senior leadership to see if a date can be identified. They are investigating further. On 02-Feb-2023, Calyx PM confirmed that the mailbox domain has been updated to the correct Calyx.ai. All correspondence to the sites will come from the Calyx.ai account. Correspondence previously sent from Parexel.com should not be replied to via email. Sites will be asked to use the vendor platform or the Calyx.com mailbox to reply to the queries. Calyx PM will have all queries that are unresolved and were generated in the month of January, re-issued so that sites can reply to queries via email.  There is no indication in the submission of significant adverse impact to study participants or study data, due to this event.  The event appears to be appropriate for the monitors/study team to continue to manage. If it is identified that it has caused safety impact to participants,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</si>
  <si>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GCP_T1_Feb-2023_C4221015:  Vendor Responsibilities: Imaging Queries_Calyx_Global</t>
  </si>
  <si>
    <t>Data management error</t>
  </si>
  <si>
    <t>Laurence MATHIVET</t>
  </si>
  <si>
    <t>Calyx PM was informed of this issue and escalated it to the senior leadership. They placed a system change request to have this updated.
On 19Jan23, the PM confirmed that the Parexel.com mailbox is being monitored. She specified that a lapse was identified with regard to study mailbox monitoring. When Calyx switched from Parexel.com to Calyx.ai, originally, the Parexel.com domain was being routed to Calyx.ai domain. This is officially not occurring anymore.
The PM does not have a date when this halted, but she asked the senior leadership to see if a date can be identified. They are investigating futher.
On 02Feb2023, Calyx PM confirmed that the mailbox domain has been updated to the correct Calyx.ai. All correspondence to the sites will come from the Calyx.ai account. 
Correspondence previously sent from Parexel.com should not be replied to via email. Sites will be asked to use the vendor platform or the Calyx.com mailbox to reply to the queries. 
Calyx PM will have all queries that are unresolved and were generated in the month of January, re-issued so that sites can reply to queries via email.</t>
  </si>
  <si>
    <t>Ruff, Paul</t>
  </si>
  <si>
    <t>Product Protocol Number:  
C4221015 
Involved Party / Country: 
PI: Ruff, Paul (Site Number: 1308) / South Africa 
Awareness Date: 
31-Jan-2023 
Quality Event Description: 
On 31-Jan-2023, the Inform helpdesk received a call from PI Paul Ruff to unlock his account and reset the password.  The helpdesk was able to assist PI Ruff and he confirmed he was able to login.  Shortly after, the Inform helpdesk was copied on an email from Done Fiore, a Sub-I at the same site.  This email was to the PI detailing the PI’s account details- username, password, and his secret questions.
What Should Have Happened: 
User's should never share their account details. 
Why Did This Event Happen:  
It is unclear at this time how the Sub-I came into the account details of the PI. 
Immediate Actions Taken: 
Principal Investigator Paul Ruff's account was deactivated and study team notified. 
Historical Review:  
PI Search:  There are 3 previous Quality Events found for this PI upon review of the quality database.
PR 2185176_GCP_T1_Mar-2021_C3441021: 6 Month Progress Report_Syneos Health; Ruff, Paul_ZAF
PR 2178294_GCP_T1_Oct-2020_C3441021: SAE Reporting_Ruff, Paul_ZAF
PR 1823982_GCP_T1_Oct-2012_A6181202: Subject screened before IIP approval_Ruff, Paul_ZAF 
Assessment Comments:  
Based on eForm entries, there was no system set auto-threshold for this event. The submission indicates that a Sub-I at site 1308 had access to the username, password and secret questions for the PI’s Inform account.  It is noted that the PI’s account was deactivated and study team notified. While it is acknowledged that the issue of sharing username and passwords is not GCP compliant, the submission does not indicate that there was significant adverse effect to participant safety or data integrity due to this event. 
As such, the event does not appear to pose a potential or material (significant) impact to patient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Clinician/Clinical Scientist/CPM, and if they consider this event to have potential or material (significant) adverse impact to any of the criteria noted above due to this event, please resubmit providing detail on the impact.  If the site persists in not adhering to secure password compliance, please resubmit.</t>
  </si>
  <si>
    <t>GCP_T1_Feb-2023_C4221015: System Access Controls: Inform_Ruff, Paul_ZAF</t>
  </si>
  <si>
    <t>Elizabeth Pezzolesi</t>
  </si>
  <si>
    <t>Principal Investigator Paul Ruff's account was deactivated and study team notified.</t>
  </si>
  <si>
    <t>Product Protocol Number: 
C4221015
Involved Party / Country:
PI: Yuan, Ying (Site Number: 1098) / China
Awareness Date:
03-Feb-2023
Quality Event Description:
From 18-Dec-2022 to 20-Dec-2022, there were intermittent Temp Excursion. The inexperienced pharmacist  did not report the temperature excursions. The same situation also occurred from 24-Jan-2023 to 28-Jan-2023. The pharmacist contacted the site monitor on 01-Feb-2023 to report the Temp Excursion in Jan, and contacted the site monitor on 03-Feb-2023 to report Temp Excursion in December.
During the period, the pharmacist dispensed the Investigational Product(IP) for the following participants: 10981006, 10981007, 10981008, 10981009, and10981010. The IP was administered/taken by the 5 participants.
What Should Have Happened:
The pharmacist should promptly report Temp Excursion and quarantine  the IPs. Affected IPs should not be dispensed to participants for use. The IP needs to be quarantined at the appropriate temperature until TE team complete their assessments and provide the result.
Why Did This Event Happen: 
1.The pharmacist exports temperature records once a month;
2.The inexperienced pharmacist ignored Thermometer alarms.
3.Failing to verify that IPs are kept at the proper temperature when dispensing.
4.Poor heating capacity of the air conditioner
Immediate Actions Taken:
1. TE was reported on 01-Feb-2023(JTE-5694) and 03-Feb-2023 respectively. The impacted IPs were quarantined at site pharmacy under required temperature.
2. The air conditioner temperature has been adjusted to ensure there is appropriate environment under cold weather.
3. PI has connected with participants to stop using the oral IP dispensed and confirmed that there were no related adverse events. 
4. Site Monitor has reported the event to Pfizer and contacted PI/site staff to remind them to continuously follow up on the 5 participants safety status. 
5. Manual order has been requested for upcoming participant visit to ensure there is plenty inventory.
Historical Review: 
PI Search: There is one previous Quality Event identified for this PI on review of the quality database.
PR 2214704_ GCP_T1_Sep-2022_C4221015: SAE Reporting_Yuan, Ying_CHN
Assessment Comments: 
This appears to be a first occurrence, isolated event for this PI/site. The submission indicates that the pharmacist at the site did not report temperature excursions and dispensed impacted IP to 5 participants.   It is noted that the 5 participants have been instructed to stop taking the IP and the PI has confirmed there are no related adverse events. The impacted IP has been quarantined and the temperature excursions reported to GCS. If not already done so the site should be retrained regarding proper IP storage, temperature monitoring and excursion reporting processes.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There was no reported significant adverse effect to participant safety due to the potential IP temperature excursion, and  evaluation on whether IP was  “Acceptable-for-Use”, by Medicinal Sciences GCS is pending.  
• Please re-submit if the following situation is identified: IP has had temperature excursion, and IP was dispensed to participant(s) who took the IP, and the IP was confirmed to be ‘Unacceptable-for-Use’ by Medicinal Sciences GCS.
• Please do not re-submit if Medicinal Sciences GCS determines the IP was “Acceptable-for-use”.</t>
  </si>
  <si>
    <t>GCP_T1_Feb-2023_C4221015: IP Temperature Excursion with dosing_Yuan, Ying_CHN</t>
  </si>
  <si>
    <t>Xiayu Wang</t>
  </si>
  <si>
    <t>1.TE was reported on 01Feb2023(JTE-5694) and 03Feb2023 respectively. The impacted IPs were quarantined at site pharmacy under required temperature.
2.The air conditioner temperature has been adjusted to ensure there is appropriate environment under cold weather.
3.INV has connected with subjects to stop using the oral IP dispensed and confirmed that there were no related adverse events. 
4.Monitor has reported the event to Pfizer and contact investigators to remind them to continuously follow up the 5 subjects safety status. Manual order has been requested for upcoming subject visit to ensure there is plenty inventory.</t>
  </si>
  <si>
    <t>Product Protocol Number: 
C4221015
Involved Party / Country:
PI: O Connor, Juan Manuel (Site Number: 1319) / Argentina
Awareness Date:
06-Feb-2023
Quality Event Description:
On onsite IMV dated 02Feb23 CRA noted the following:
- ICD #13191012: ICD was signed by Dr. Waisberg however consent process was documented by Dr. Pfluger. There is no comment stating that both Sub-Is were present during consent process.
- SAEs: there are 5 SAEs, as far as we know, all of them were reviewed. None of them are properly documented, i.e. start date, end date, relationship with IP, date of awareness, criterion of seriousness, submission to EC, etc.; one or more of these points are missing. 
- ICD process: All pending ICDs were reviewed. ICD process is not properly documented as required by local MoH, data is missing, e.g. copy given to participant. In addition, there is no mention about the emergency card being given to participant when the ICD was signed.
- InForm not updated: 5 participants are still missing in EDC (13191007, 13191009, 13191010, 13191011, 13191012) A lot of data is incorrectly recorded, e.g. 13191005 is recorded as randomized however, the participant was screen failed so SDV/SDR is pending but it is NA.
What Should Have Happened:
- ICD process should had been performed and documented by the same person who did it with the participant, and properly documented as required by local MoH. There should be a record of emergency card provided to participant.
- SAEs: Should had been properly documented in clinical chart by a properly delegated Sub-I or PI. 
- Inform not updated: All the participants’ should been entered into InForm within 4 days of visit.
Why Did This Event Happen: 
Site has enrolled a large number of participants in a short period of time, and site staff resources were not able to keep up with study timelines and tasks.
Site staff has multiple studies.
Immediate Actions Taken:
When site performance issues were noted, site was put on Enrollment Hold, and an Action Plan was developed for site to improve their performance, but as of the 02-Feb-2023 onsite IMV no improvement was seen.
Historical Review: 
PI Search:  There was one previous Quality Event identified for this PI upon review of quality database.
PR 2220446_GCP_T1_Jan-2023_C4221015: PI Oversight_O’Connor, Juan Manuel_ARG
Assessment Comments: 
The submission indicates a lack of PI oversight in multiple areas, including consenting and ICD documentation, SAE review and EDC data entry. It is recognized that each of the issues noted do need to be remediated with the site and PI. In a prior QE for this PI, PR 2220446, it was reported that the site has been put on enrollment hold and a CAPA plan has been developed in order for the site to remediate the ongoing issues. However, based on submitted information it is not apparent whether the study team members (Lead Clinician/CSTL) have also been engaged to address issues directly with the PI. While the issue presented needs to be resolved with the PI, it is not apparent in the submission that there has been sufficient time for the site to comply with the CAPA, if the CAPA plan was implemented in January 2023. At this time, there is no indication that there is significant adverse impact to participant safety or data integrity as a result of this issue, based on known information. The event appears to be appropriate for the CRA/monitoring oversight/study team colleagues to continue to manage.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a s-PIP plan was previously implemented it is not clear whether CAPAs were established with the site to address/correct each of these issues. It is recommended, if not done already, that CAPAs be established and agreed upon with the site for each issue that needs to be addressed. Additionally, if not done already, the study team Clinician and/or CSTL support may be necessary to discuss and reinforce with the PI the importance of adherence to correct process for each of the areas of concern. If these remediation actions are taken and the site issues persist after a remediation/CAPA plan has been put in place with the site for each issue, and suggested study team remediation attempts with the site, then please do resubmit. If these issues have had significant adverse impact to the participants’ safety, rights, or well-being, please resubmit providing details on the impact.</t>
  </si>
  <si>
    <t>GCP_T1_Feb-2023_C4221015: PI Oversight_O’Connor, Juan Manuel_ARG</t>
  </si>
  <si>
    <t>When site performance issues were noted, site was put on Enrollment Hold, and an Action Plan was developed for site to improve their performance, but on 02Feb23 onsite IMV no improvement was seen.</t>
  </si>
  <si>
    <t>Product Protocol Number: 
C4221015
Involved Party / Country:
PI: Masuishi, Toshiki  (Site Number: 1383) / Japan 
Awareness Date:
05-Feb-2023
Quality Event Description:
For participant 13831005s (Arm B) C1D15 visit(28-Oct-2022) to C4D1 visit(20-Jan-2023), alocalis  (generic name: fosnetupitant- moderate CYP3A4 inhibitor) was used as an antiemetic and the dose of encorafenib should have been reduced according to protocol 6.5.3.6 since a moderate CYP 3A4 inhibitor was used. 
Background: 
-02-Feb-2023: Per preparation for monitoring, the site monitor was confirming the EDC data remotely for site 1383, and confirmed alocalis was recorded on the EDC for participant 13831005. Participant 13831005 was not in the SDV/SDR population, but the site monitor exported all EDC data for this site, which is how the site monitor noticed that alocalis had been administered to participant 13831005. Per investigators opinion, co-administration of encorafenib and alocalis did not affect the participants safety and there were no AEs/SAEs related to this incident. 
-03-Feb-2023: The site monitor informed the medical monitor that at this site, per normal medical procedure, encorafenib and alocalis is co-administered and asked whether co-administration is allowed. The site monitor confirmed the medical monitors response on 06-Feb-2023, that since alocalis is a moderate CYP3A4 inhibitor, if it is co-adminstered with encorafenib, the encorafenib dose must be reduced. 
Note: on 12-Jan-2023, there was a case at another site where alocalis was co-administered with encorafenib and on the same day, the EDC database for Japan was confirmed to see whether alocalis had been administered at other sites. The confirmation was done based on the generic name (fosneputitant) of the drug since per CRF completion requirements, the generic name must be recorded on EDC. However, at this site, the product name (alocalis) instead of the generic name of the drug was mistakenly recorded on EDC so that is the reason why the site monitor discovered that alocalis had been used for this participant at this timing during the monitoring preparation.
What Should Have Happened:
When moderate CYP3A4 inhibitors are used, dose reduction of encorafenib is required according to protocol 6.5.3.6 as below.
Protocol 6.5.3.6. Antiemetics
"The following antiemetics are allowed, but should be used with caution when administered with encorafenib as they may affect encorafenib exposure. Aprepitant PO (moderate CYP3A4 inhibitor) is allowed in participants but encorafenib should be reduced for 3-5 half-lives"
Why Did This Event Happen: 
The investigator and CRC (study coordinator) understood that moderate CYP3A4 inhibitors are concomitant medications to be used with caution and encorafenib dose had to be reduced, and they thought that co-administration of encorafenib and alocalis is allowed because they also checked the CYP-related website listed in Protocol 6.5.2, 6.5.3.6 and the list of prohibited concomitant medications, and none of them clearly stated that alocalis is a moderate CYP3A4 inhibitor and co-adminstration of encorafenib and alocalis is usually used as the normal medical procedure.
Protocol 6.5.2. Prohibited Concomitant Therapy
"Concomitant strong systemic CYP3A4 inhibitors, which could significantly increase the exposure of encorafenib and irinotecan. For tabulated prohibited CYP substrates, inhibitors and inducers, please consult the following open-access websites: https://www.fda.gov/drugs/developmentapprovalprocess/developmentresources/druginteractionslabeling/ucm093664.htm
https://drug-interactions.medicine.iu.edu/MainTable.aspx
Additional information on CYP substrates, inhibitors and inducers can be found on the following subscription-based website: https://didb.druginteractioninfo.org/
Concomitant moderate or strong systemic CYP3A4 inducers, which could significantly decrease the exposure of encorafenib and irinotecan. "
Immediate Actions Taken:
Corrective action: 
-02-Feb-2023: The site monitor informed the CRC and investigator that alocalis is a moderate CYP3A4 inhibitor and that for future visits for participant 13831005, another drug must be used, or if alocalis is to be used, the encorafenib dose must be reduced.
-The site monitor confirmed through the study coordinator that none of the other participants at the site have been administered alocalis 
-The site staff at this site were re-trained to record the generic name of the concomitant medication on EDC, rather than the product name, per CRF completion requirements
Preventive action:
-The EDC database for all sites in Japan were confirmed to see whether alocalis had been administered for other participants. As a result, there were no other participants who have been administering alocalis. (the search was conducted with both the generic and product name for alocalis) 
-The site monitor reminded all sites in Japan on 03-Feb-2023 that alocalis is a drug to be used with caution with encorafenib.
-The site monitor shared the FDA searching site where the drug label can be searched to all sites in Japan on 03-Feb-2023. The site monitor reminded the sites that if the CYP3A4 characteristic cannot be confirmed from the product label in Japan, the sites should search the FDA site to see if the drug the participant is about to take is allowed per protocol. 
-The List of drugs to be used with caution/prohibited drugs will be updated for Japan by the end of February 2023 and distributed to all sites in Japan. The update of the list will include alocalis as a drug to be used with caution. 
-A letter will be issued by Pfizer Japan to warn sites that alocalis is a drug to be used with caution since it is a moderate CYP3A4 inhibitor and that encorafenib must be reduced if it is co-administered with alocalis.
Historical Review: 
PI Search: there is one previous Quality Event identified for this PI on review of the quality database.
PR 2209195_GCP_T1_Jun-2022_C4221015: Medication Error_Masuishi, Toshiki_JPN [participant’s IP dose was not reduced when they began taking aprepitant concomitant medication, as is required per Protocol version 3 and as instructed in the Dear Investigator Letter issued on 18-Mar-2021]
Assessment Comments: 
The submission indicates that the site did not reduce the dose of IP for one participant according to the protocol when alocalis, a moderate CYP3A4 inhibitor, was co-administered.   It is noted that the PI confirmed that co-administration of encorafenib and alocalis did not affect the participants safety and there were no AEs/SAEs related to this incident.  The study team have confirmed that no other participants at the site or at any other sites in Japan have been administered alocalis so the issue is specific to this site and participant. The site have been retrained and the study team have a CAPA plan in place in order to reduce the likelihood of this issue happening again.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</si>
  <si>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GCP_T1_Feb-2023_C4221015: Medication Error_Masuishi, Toshiki_JPN</t>
  </si>
  <si>
    <t>Corrective action: 
-2Feb2023: The CRA informed the CRC and investigator the alocalis is a moderate CYP3A4 inhibitor and that for future visits for subject 13831005, another drug must be used, or if alocalis is to be used, the encorafenib dose must be reduced.
-The CRA confirmed through the study coordinator that none of the other subjects at the site have administered alocalis 
-The site staff at this site were re-trained to recod the general name of the concomitant medication on EDC, rather than the product name, per CRF completion requirements
Preventive action:
-The EDC database for all sites in Japan were confirmed to see whether alocalis had been administered for other subjects. As a result, there were no other subjects who have been administering alocalis. (the search was conducted with both the general and product name for alocalis) 
-The CRA reminded all sites in Japan on 3Feb2023 that alocalis is a drug to be used with caution with encorafenib.
-The CRA shared the FDA searching site where the drug label can be searched to all sites in Japan on 3Feb2023. The CRA reminded the sites that if the CYP3A4 characteristic cannot be confirmed from the product label in Japan, the sites should search the FDA site to see if the drug the subject is about to take is allowed per protocol. 
-The List of drugs to be used with caution/prohibited drugs will be updated for Japan by the end of February 2023 and distributed to all sites in Japan. The update of the list will include alocalis as a drug to be used with caution. 
-A letter will be issued by Pfizer Japan to warn sites that alocalis is a drug to be used with caution since it is a moderate CYP3A4 inhibitor and that encorafenib must be reduced if it is co-adminitered with alocalis.</t>
  </si>
  <si>
    <t>Product Protocol Number: 
C4221015
Involved Party / Country:
PI: O’Connor, Juan Manuel  (Site Number: 1319) / Argentina
Awareness Date:
06-Feb-2023
Quality Event Description:
On 02-Feb-2023 during an onsite IMV SAEs not reported were found: 
- Participant 13191010 had a SAE on 10-Jan-2023 and it has not been reported to sponsor via PSSA, email or Inform nor to EC. Participant is not even recorded into Inform.  It was discussed with Sub I  and SC. Sub-I believed it had been reported via Inform. SAE is only documented on clinical chart (with missing dates and data). Participant withdrew consent, is Screen Failure.
- Participant 13191009 (first screened as 13191005): Site has been trying to report through PSSA since they acknowledged it. Site tried to report the SAE for participant 13191005, but since 1005 is a SF the system won't let the site enter IP info. There is missing info and dates on clinical chart. In Inform the randomization was entered for participant 1005 instead of 1009.
- Participant 13191008: 2 SAEs that are scheduled hospitalizations to infuse chemotherapy. Participant had an infusion reaction at one of the visits, and PI decided to hospitalize participant for every IP infusion - per Sub-I, due to an MoH audit for another study they were told that all hospitalizations, even scheduled ones, must be reported as SAEs, unless Sponsor decided it is not necessary. This has not been discussed with PI. Site tried to submit these SAEs using SAE Form.
What Should Have Happened:
SAEs should had been reported via PSAA within 24 hours of acknowledgement.
Why Did This Event Happen: 
Site has enrolled a large number of participants, and resources at site are not adequate. Site staff with great workload. Site not able to use PSSA, regardless of help and guidance provided by site monitor.
Immediate Actions Taken:
Site was asked to submit via PSSA asap, but has not been done yet.
Site was retrained on SAE reporting and documentation.
Historical Review: 
PI Search:  There are 2 previous Quality Events identified for this PI upon review of quality database but none related to late SAE reporting.
PR 2221627_GCP_Feb-2023_C4221015: PI Oversight_O’Connor, Juan Manuel_ARG
PR 2220446_GCP_T1_Jan-2023_C4221015: PI Oversight_O’Connor, Juan Manuel_ARG
Assessment Comments: 
Based on eForm entries, there was no system set auto-threshold for this event.This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With regard to the resourcing at site the study team should continue to work with the site to address the situation and develop a plan to address.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</si>
  <si>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GCP_T1_Feb-2023_C4221015: SAE Reporting_O’Connor, Juan Manuel_ARG</t>
  </si>
  <si>
    <t>Site was asked to submit via PSSA asap, but has not been done yet.
Site was retrained on SAE reporting and documentation.</t>
  </si>
  <si>
    <t>1231, 1347, 1362, 1379</t>
  </si>
  <si>
    <t>Borges, Giuliano Santos, Bragagnoli, Arinilda Campos, Pereira, Rodrigo Perez, Reichow, Sandro Laercio</t>
  </si>
  <si>
    <t>Product Protocol Number: 
C4221015
Involved Party / Country:
PI: Bragagnoli, Arinilda Campos (Site Number: 1362) / Brazil
PI: Pereira, Rodrigo Perez (Site Number: 1347) / Brazil
PI: Borges, Giuliano Santos (Site Number: 1231) / Brazil
PI: Reichow, Sandro Laercio (Site Number: 1379) / Brazil 
Vendor: PPD / Brazil 
Awareness Date:
14-Feb-2023
Quality Event Description:
C4221015 Brazil: During country start-up and Country ICD customization there was a discussion regarding the collection of Banked Biospecimens. 
In it, it was recommended by PPD CAS to remove its collection since to get regulatory approvals for banked samples is not easy in Brazil. Per Brazil Reg Authorities, any sample collected for the study destined to banked specimen, is limited to analysis related to the protocol and for the limited period of storage of 10 years, what configures it as a biorepository.
The Biobank was asked at that time and they responded: Please remove the Use of Biological Samples in Additional Research altogether for Brazil. 
With this, it was stated and confirmed that Brazil would not collect samples for Banked Biospecimens.
On 13-Feb-2023 it was noticed that sites are collecting this sample per protocol, not following the ICD, and entering the information in InForm.
This has impacted 5 participants (one TBC):
1231-1004  Collected on 14-Dec-2022, received at lab on 18-Jan-2023, identifier 1GN34004247.
1347-1001  Collected on 12-Sep-2022, received at lab on 16-Sep-2022, identifier 1GN38414475.
1362-1001  Collected on 23-Aug-2022, received at lab on 26-Aug-2022, identifier 1GN02023449.
1362-1002  Collected on 14-Sep-2022, received at lab on 24-Sep-2022, identifier 1GN35269655.
1379-1001  To Be Confirmed if it was collected and sent to PPD Central Lab, identifier 1GN35522714.
What Should Have Happened:
- Biobank Sample should not have been collected
- CRF BANKBIOC Q3 should had been completed with DISALLOWED AT THE SITE.
Why Did This Event Happen: 
Miscommunication in the handover from Startup to Clinical.
Immediate Actions Taken:
- Communication sent to sites informing of this problem:
Asking to stop collecting this sample.
To remove the tube for this sample in the TYPE A3 Central Lab Kit.
That for samples obtained, a Protocol Deviation will be registered.
For samples already obtained, Central Lab will be asked to destroy them.
Sites to inform participants this sample should not have been taken and that it will be destroyed; this information and discussion must be registered in clinical chart.
InForm: update CRF BANKBIOC Q3 to DISALLOWED AT THE SITE.
- Protocol Deviations to be entered for the impacted participants affected in Siebel.
- Central Laboratory requested to destroy the samples obtained for these Brazil participants.
- Inform the required regulatory authorities as required, if applicable.
Historical Review: 
PI Search:
PI (Bragagnoli): There are no previous related Quality Events identified for this PI on review of the quality database.
PI (Pereira): There is one previous Quality Event identified for this PI on review of the quality database.
PR 2212904_GCP_T1_Aug-2022_C4221015: Participant Confidentiality_Pereira, Rodrigo Perez_BRA
PI (Borges): There is one previous Quality Event identified for this PI on review of the quality database.
PR 2149735_GCP_T1_Feb-2019_A4091061: Informed Consent Process_Borges, Giuliano Santos_BRA
PI (Reichow): There are no previous Quality Events identified for this PI on review of the quality database.
Assessment Comments: 
The submission indicates that 4 sites in Brazil collected Banked Biospecimen sample even though the study team had determined this sample should not be collected in Brazil. The issue impacted 5 participants at 4 sites.  It is noted that the sites have been asked to stop collecting the sample and to remove the tube from the type A3 lab kit. PDs will be entered for the impacted participants. The central lab has been requested to destroy the samples already obtained.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T1 is assigned instead.</t>
  </si>
  <si>
    <t>GCP_T1_Feb-2023_C4221015: Banked Biospecimen Sample collection_Multiple Sites_BRA</t>
  </si>
  <si>
    <t>Equipment, Facility and Sample/Specimens, Quality Procedures</t>
  </si>
  <si>
    <t>Failure to a follow sponsor/third party/site controlled procedure (e.g., SOP or statistical analysis plan), Inadequate sample/specimen collection and management</t>
  </si>
  <si>
    <t>- Communication sent to sites informing of this problem:
Asking to stop collecting this sample.
To remove the tube for this sample in the TYPE A3 Central Lab Kit.
That for samples obtained, a Protocol Deviation will be registered.
For samples already obtained, Central Lab will be asked to destroy them.
Sites to inform subjects this sample should had not been taken and that it will be destroyed; this information and discussion must be registered in clinical chart.
InForm: update CRF BANKBIOC Q3 to DISALLOWED AT THE SITE.
- Protocol Deviations to be entered for the subjects affected in Siebel.
- Ask Central Laboratory to destroy the samples obtained for these Brazil subjects.
- Inform the required regulatory authorities as required, if applicable.</t>
  </si>
  <si>
    <t>Product Protocol Number: 
C4221015
Involved Party / Country:
Vendor: Calyx  / Global
Awareness Date:
15-Feb-2023
Quality Event Description:
Calyx, the vendor which provides blinded independent central read (BICR) of imaging for C4221015's primary endpoint failed to provide accurate data on a monthly basis, and the issue is ongoing.  The first data transfer was in Jul-2022 with subsequent monthly data transfers received in Aug-2022, Sep-2022 and Oct-2022.  The data issues with Calyx started in Nov-2022, the data received are significantly erroneous that it is not useable.  To date, the issue has yet been to be resolved and the study team has not been able to receive full data set for approximately 3.5 months.  This study has a primary completion date (PCD) date of mid-Sep-2023. Data issues were also experienced with the initial data transfer where it took a few months for team to finally receive the full data set without any errors.  
What Should Have Happened:
Calyx should have resolved the data issues in a shorter time frame.  There should have been reassurance measures put in place to prevent future data transfer issues, specifically, to eliminate potential risk of delaying PCD in mid-Sep-2023.  Data from this PCD is part of sNDA submission application for FDAs Project Front Runner Accelerated Approval strategy.
Why Did This Event Happen: 
It appears duplicates due to multiple unscheduled visits for a single participant is a contributing factor that is causing errors showing up in Calyx's data report.
Immediate Actions Taken:
The study team has been following up with Calyx since Oct-2022 during the regularly scheduled meetings between study team and Calyx as well as email follow up.   
Historical Review: 
Vendor / Keyword Search: There are 3 previous unrelated Quality Events identified for this Vendor upon review of quality database.
PR 2221478_GCP_T1_Feb-2023_C4221015:  Vendor Responsibilities: Imaging Queries_Calyx_Global
[Calyx sent queries to the sites with their old mailbox which was not a mailbox that had been monitored]
PR 2214037_GCP_T1_Sep-2022_C4221015: Vendor Responsibilities_Calyx_Global
[Lacking responsiveness and transparency to verify BICR results are returned to sites within the 5 business days]
PR 2212591_GCP_T1_Aug-2022_C4221015: System Access; Participant Confidentiality_PPD; Tebbutt, Niall_AUS
[1233 SC received Calyx (central imaging vendor) access to an incorrect site (1232)]
Assessment Comments: 
Calyx, the BICR vendor for C4221015's primary endpoint has been unable to provide a full dataset transfer for approximately 3.5 months and without resolution, due to duplicate unscheduled visits for a single participant. The dataset transfer issue appears to be a reoccurrence, there were errors with the initial data transfer and it  took months for the team to finally receive the full data set without errors.  This study has a primary completion date (PCD) date of mid-Sep-2023, the data part of sNDA submission application for FDAs Project Front Runner Accelerated Approval strategy. Due to the potential for significant adverse impact to study data integrity, as Calyx has been unable to provide resolution to the study team since Oct-2022 after multiple follow-ups and time to resolution of the initial data transfer, this will be a T2 Significant Quality Event.</t>
  </si>
  <si>
    <t>GCP_T2_Feb-2023_C4221015: Vendor Responsibilities: Dataset Transfers Errors_Calyx_Global_Downgrade</t>
  </si>
  <si>
    <t>Incorrect assignment/randomization and/or maintenance of the study blind</t>
  </si>
  <si>
    <t>Study Team has been following up with Calyx since October during the regularly scheduled meetings between study team and Calyx as well as email follow up.  Team is submitting this QE as the next step.</t>
  </si>
  <si>
    <t>DalChiele, Valentina</t>
  </si>
  <si>
    <t>Product Protocol Number: 
C4221015
Involved Party / Country:
Vendor: PPD / Finland
Multiple Sites / Finland
Awareness Date:
23-Feb-2023
Quality Event Description:
Lab samples were collected for Finnish participants when not authorized by a proper consent form (banked biospeciment and BRAF CDx).
What Should Have Happened:
Lab samples should not have been collected.
Why Did This Event Happen: 
ICD for Nordic Countries must be very short and cutting down the document some specific parts on lab samples have been removed and it was not clear from ICD what samples were not to be collected.
Immediate Actions Taken:
- Pfizer was informed (both global and local) 
- ICD was review by Clinical research Associate (CRA) and Country Approval Specialist (CAS) and discussed with local Pfizer and clinician. Local Pfizer who reviewed the ICD at the very beginning, confirmed neither banked biospeciment nor BRAF CDx were covered by the ICD and should not be collected for Finnish sites since not approved by EC
-CTM requested unauthorized collected samples for all Finnish participants involved to be destroyed
-ICD has been reviewed with Pfizer clinician and better reworded to be more clear about samples allowed to be collected
-site staff instructed to remove lab kits tubes specific for BRAF CDx and banked biospeciment PrepD1 to avoid future issues
-site staff informed on how to properly update the eCRF
-site staff will inform participants during follow up visits about the issue
- CRA confirmed no need to notify Ethic Committee or Regulatory Authority
Historical Review: 
Protocol / Country Search: There are no previous similar Quality Events identified for this Protocol in Finland upon review of quality database.
Assessment Comments: 
The submission indicates that lab samples were collected for Finnish participants when not authorized by a proper consent form (banked biospeciment and BRAF CDx). The number of sites, samples and participants impacted is not specified in the submission. It is noted that actions to remediate the issue were taken including that Pfizer was informed (both global and local, the ICD was reviewed by monitor and CAS and was discussed with local Pfizer and clinician who confirmed neither banked biospeciment nor BRAF CDx were covered by the ICD and should not be collected for Finnish sites since not approved by EC. Additionally the CTM requested unauthorized collected samples for all Finnish participants involved to be destroyed, ICD has been reviewed with Pfizer clinician and better reworded to be more clear about samples allowed to be collected, site staff were instructed to remove lab kits tubes specific for BRAF CDx and banked biospeciment PrepD1 to avoid future issues, were informed on how to properly update the eCRF.  The site staff will inform participants during follow up visits about the issue and the CRA confirmed no need to notify Ethic Committee or Regulatory Authority.  With these actions being taken there is no indication in the submission of significant adverse impact to study participants or study data, due to this event.  The event appears to be appropriate for the monitor/study team to continue to manage. If this has caused adverse impact to any participants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</si>
  <si>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GCP_T1_Feb-2023_C4221015: Sample Collection_PPD; Multiple Sites_FIN</t>
  </si>
  <si>
    <t>Hofsli, Eva</t>
  </si>
  <si>
    <t>Product Protocol Number: 
C4221015
Involved Party / Country:
PI: Hofsli, Eva (Site Number: 1291) / Norway
Awareness Date:
09-Mar-2023
Quality Event Description:
Banked biospecimen collected for participant 12911001 when it was not approved by EC.
What Should Have Happened:
Banked biospecimen should not have been collected for participant 12911001.
Why Did This Event Happen: 
Site staff didn't recall the prep D1 was for banked biospecimen and that this was not allowed in their country for this study.
Immediate Actions Taken:
SC has been retrained. SC will take care of retraining lab staff about this and remind them to remove prep D1 tube from lab kits to avoid recurrence. Sponsor has been informed.
CRA/RSM have been asked to inform the PI and ask him to inform the participant and document this on SDs. Record a PD.
Historical Review: 
PI Search:  There were no previous Quality Events identified for this PI upon review of the quality database.
Assessment Comments: 
The submission indicates that a banked biospecimen sample was collected from 1 participant at site 1291. The site’s collection of biospecimen samples is not approved by the EC and is inconsistent with the ICD to which the participant consented. It is noted that the SC has been retrained, the lab staff will be retrained by the SC on the process, and prep D1 tubes will be removed from the lab kits to avoid a reoccurrence of the event. The PI will inform the participant and a PD will be recorded. It is recommended, if it has not already been done, that the site take action to ensure the correct disposition of the collected samples and notify their Ethics Committee of the issue, as appropriate. Provided that samples are destroyed as required, and any other necessary actions are taken for the involved participant, there is no indication in the submission of significant adverse impact to the study participant or to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</si>
  <si>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GCP_T1_Mar-2023_C4221015: Informed Consent; Sample Collection_Hofsli, Eva_NOR</t>
  </si>
  <si>
    <t>SC has been retrained.
SC will take care of retraining lab staff about this and remind them to remove prepD1 tube from lab kits to avoid recurrence.
Sponsor has been informed
CRA/RSM have been asked to:
-inform the PI and ask him the patient to be informed and document this on SDs
-track a PD</t>
  </si>
  <si>
    <t>Spratlin, Jennifer</t>
  </si>
  <si>
    <t>Product Protocol Number: 
C4221015
Involved Party / Country:
PI: Spratlin, Jennifer (Site Number: 1322) / Canada
Awareness Date:
09-Mar-2023
Quality Event Description:
Site 1322 enrolled 3 participants by deviating from the protocol by not submitting the eligibility form to the MM for review and confirmation. This was discussed with the site at the IMV on 08 to 09-Mar-2023, the PI was not available although it was mentioned in the visit confirmation letter to have a meeting with PI to discuss any findings, answer any questions the PI might have. Without approved eligibility by MM, the participants cannot be enrolled to the study. There was an SAE for participant 13221003, and it was reported more than 24 hours after site's awareness. This participant was hospitalized on 07-Mar-2023 and discharged while the monitor was onsite 09-Mar-2023. The SC entered the SAE in InForm, but did not submit the SAE in PSSA.
What Should Have Happened:
The site should have submitted the participant eligibility form via ePIP to the MM or via email to the MM for each participant at the screening visit. The participants should have been enrolled once the MM reviews and confirms the participant eligibility.  For the SAE process, the site should have reported the SAE within 24 hours of awareness in PSSA.  
Why Did This Event Happen: 
Lack of communication with the study team, as well as site personnel lack of protocol and SOA understanding caused that issue. After discussion with the SC and SN, the monitor noticed that the site has more than 10 studies, that might be too many for the site personnel to handle.
Immediate Actions Taken:
The issues were escalated to the study CTM by the monitor immediately after being aware of. The monitor highly suggested the site to pause recruiting to ensure that the issues are handled first, but the SN was confident that they can handle participants being recruited. The study team inform the site that eligibility form should be submitted to the MM via ePIP. The email was sent to the team along with the protocol section snapshot explaining that the participant eligibility form should be submitted to the MM. The re-training should be done at the next IMV by the monitor.  Also, the monitor asked SC to report the SAE in PSSA soon. The SC confirmed that it was completed on 09-Mar2023.  The CTM suggested to have a virtual meeting with the PI next week to discuss PDs and issues, an email was sent to the SC to set up a virtual meeting.  Also, the monitor asked the SC to ensure that PI would be available at all future IMVs (at least a phone call).
Historical Review: 
PI Search: There were no previous Quality Events identified for this PI upon review of quality database.
Assessment Comments: 
The submission indicates that due to a lack of communicate and understanding of the SOA site 1322 enrolled 3 participants without submitting the participant eligibility form via ePIP or email for medical monitor review.  It is noted that the issues were escalated to the CTM and the CTM suggested to have a virtual meeting with the PI next week to discuss PDs and issues, an email was sent to the SC to set up a virtual meeting.  Also, the monitor asked the SC to ensure that PI would be available at all future IMVs (at least a phone call).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</si>
  <si>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GCP_T1_Mar-2023_C4221015: Protocol Deviation: Eligibility Form; SAE Reporting_Spratlin, Jennifer_CAN</t>
  </si>
  <si>
    <t>AE reporting to Sponsor, Protocol Deviations</t>
  </si>
  <si>
    <t>Delayed SAE reporting, Failure to follow protocol</t>
  </si>
  <si>
    <t>AEM01-Adverse Event Monitoring, No Process Assigned</t>
  </si>
  <si>
    <t>Ali Hosseinnia</t>
  </si>
  <si>
    <t>The issues were escalated to the study CTM by the monitor immediately after being aware of. The monitor highly suggested the site to pause recruiting to ensure that the issues are handled first, but the SN was confident that they can handle even by having more subjects recruited. The study team inform the site that eligibility form should be submitted to the MM via ePIP. The email was sent to the team along with the protocol section snapshot explaining that the subject eligibility form should be submitted to the MM. The re-training should be done at the next IMV by the monitor. 
Also, the monitor asked SC to report the SAE in PSSA soon. The SC confirmed that she did that on 09Mar2023. 
A meeting was scheduled with the CTM to go through the issues and PDs, and CTM suggested to have a virtual meeting with the PI next week. The email was sent to the SC to set up a virtual meeting to discuss about the issues. Also, the monitor asked the SC to ensure that PI would be available at all future IMVs (at least a phone call).</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</si>
  <si>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</si>
  <si>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</si>
  <si>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Gap Analysis-A gap analysis was performed.-This issue was identified to impact at least one study of the protocols listed within the SQE-Not required</t>
  </si>
  <si>
    <t>Tanya Chu</t>
  </si>
  <si>
    <t>To clarify the requirement with SOP team and also raise concern on the day of receiving the global announcement. It was confirmed that all optional consents need to be entered in ICD tracking log and SOP team are also finding a better solution for tracking. 
CRO has been communicated with this requirement and starting to review all of their studies and complete the missing entry.</t>
  </si>
  <si>
    <t>Contract Research Organizations (CROs) to review all their respective studies in Taiwan and complete the missing entries in ICTL, where possible. Site Excellence Partners to support the CROs with the review and will address any potential questions raised during the review.</t>
  </si>
  <si>
    <t>Rodriguez, Gabriel</t>
  </si>
  <si>
    <t>Scagliotti, Giorgio Vittorio</t>
  </si>
  <si>
    <t>Product Protocol Number: 
C4221015
Involved Party / Country:
PI: Scagliotti, Giorgio Vittorio (Site Number: 1051) / Italy  103210
Awareness Date:
22-Mar-2023
Quality Event Description:
SAE form was submitted including participant’s full date of birth (DOB) for participant 10511003 (case ID 509105 ).
What Should Have Happened:
Only year should have been reported on the form.
Why Did This Event Happen: 
Study Coordinator (SC) did not properly follow SAE completion guidelines.
Immediate Actions Taken:
Monitor retrained SC during IMV and will inform and retrain PI also bout correct procedure to be followed.  SAE Follow-Up was sent with only year of birth and Global Pfizer was informed on 22-Mar-2023.
Historical Review: 
PI Search: There are 2 previous Quality Events identified for this PI upon review of quality database.
PR 2166199_GCP_T2_Mar-2020_MDV310013: Pot.Unblinding: PSA Result,Sample Transport (Coronavirus Impact)_Scagliotti, Giorgio_ITA_DWG
PR 2150325_GCP_T2_Feb-2019_MDV380006_Electronic Medical Records Access_Scagliotti, Giorgio Vittorio_ITA
Assessment Comments: 
This appears to be a first occurrence, isolated event for this PI involving a single participant.  The submission indicates that an SAE form was submitted including 1 participant’s full date of birth (DOB), when only the year should have been included; contrary to GDPR and Pfizer policy (Corporate Policy 404- Protecting the Privacy of Personal Data) and the duty to protect participant confidentiality.  It is noted that the monitor retrained SC during IMV and will inform and retrain PI also bout correct procedure to be followed. The submission confirms that SAE Follow-Up form was sent with only year of birth and Global Pfizer was informed on 22-Mar-2023. There is no indication in the submission of significant adverse impact to study participants or study data, due to this event.  In addition, it is recommended that action be taken to remediate the event including the Investigator and site study personnel may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as a factor of concern. For that reason also, the threshold of T3 is not selected for this issue, and threshold of T1 is assigned instead.
The Pfizer Privacy Office and GSOC are copied for awareness, and in case they have additional questions, actions or clarifications to discuss with the Reporting Party; or in case reporting to data protection authorities may be necessary.
Dear Annachiara,  if you have not already reported this incident to GSOC please follow the instruction below.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</si>
  <si>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GCP_T1_Mar-2023_C4221015: Participant Confidentiality: DOB_Scagliotti, Giorgio Vittorio_ITA</t>
  </si>
  <si>
    <t>CRA retrained SC during IMV
CRA will inform and retrain also PI about correct procedure to be followed
SAE FUP sent with only year of birth
Global Pfizer informed on 22Mar23</t>
  </si>
  <si>
    <t>Product Protocol Number: 
C4221015
Involved Party / Country:
Vendor: PPD  / Russian Federation 
Awareness Date:
31-Mar-2023
Quality Event Description:
Site 1111 in Russia was closing.  A study team member requested a transfer of remaining IP from Site 1111 to nearby Site 1113.  The standard process for site to site transfers was followed; and a site transfer form (IP13-GSOP-RF05) was created.  Per the process, Impala Support was looped in to have shipment ID's created.  Impala Support initially had issues moving IP because a subject was marked as active at site 1111.  In addition, when doing their review, there were issues with reconciling 4 kit ID's in Impala to Kit ID's mentioned on the transfer form  (4 kits were dispensed outside of IRT, and should have been updated in IRT). By the time the four kits were clarified, the transfer was no longer relevant some kits were expiring soon (30-Mar-2023). Additionally, due to the treatment IP that was in the transfer was no longer needed by participants at site 1113.  For those reasons, it was suggested to modify the transfer form.  22-Mar-2023 the study team responded confirmed which kits should be kept, and which should be discarded.   On 27-Mar-2023  an email from the study team telling that the IP had been transferred and attached was temperature recordings.   
What Should Have Happened:
Per the IP Transfer process, the site should have waited for the form to be fully approved, once fully approved the site would then have permission to transfer the IP to site 1113. Following the responses to the questions on 27-Mar-2023, it was planned to complete the updates to the IP Transfer form.  
Why Did This Event Happen: 
The site had a misunderstanding and felt pressured to transfer the IP since site 1111 was closing.
Immediate Actions Taken:
The IP was quarantined at site 1113.   
CMCD Information:  
Start Date: 27-Mar-2023
End Date:  27-Mar-2023
Reason for Start/End Date: NA
CMCD Requirement Not Met: documentation of site to site transfer of IMP
Instead of CMCD Requirement: IP was quarantined until further review. IP will either be rejected/destroyed or the paperwork will be completed for the site transfer if it is acceptable.
Historical Review: 
Vendor  / Country / Protocol Search: There are no previous similar Quality Events identified for this Vendor in the Russian Federation in this protocol upon review of quality database.
Assessment Comments: 
This quality event represents CMCD non-conformance.  The CMCD that is referenced by the event reporter is: IP13-GSOP 4.0 Investigational Medicinal Product 01-May-2020.
The submission indicates that due to a misunderstanding and closure of site 1111, the transfer of IP to site 1113 was not fully approved per the process and the IP transfer form was pending updates following responses to questions.  It is noted that the IP was quarantined at site 1113 until further review.  IP will be either rejected /destroyed or the paperwork will be completed for the site transfer if it is acceptable.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
Note:  Submitted information from eForm included selection that this event is "Non-compliance that has Impacted participant Safety and Well-being".  There does not appear to be information in the submitted text supporting or explaining how there has been a significant adverse impact to participant safety and well-being due to this event.  It is possible that this was checked in error.  If it is identified that there has been any potential/material (significant) adverse effect to participant safety or other medical concerns due to this event, please resubmit providing necessary detail on the significant impact.  It is not necessary to clarify this point or resubmit, unless you are resubmitting due to this factor.</t>
  </si>
  <si>
    <t>GCP_T1_Mar-2023_C4221015: CMCD: Investigational Product Management; Transfer_PPD_RUS</t>
  </si>
  <si>
    <t>Failure to detect/document</t>
  </si>
  <si>
    <t>Mark Ventura</t>
  </si>
  <si>
    <t>The IP was quarantined at site 1113 and this QE was created to evaluate next steps.</t>
  </si>
  <si>
    <t>1094, 1341</t>
  </si>
  <si>
    <t>Hansen, Torben Frostrup, Olesen, Rene Kroejgaard</t>
  </si>
  <si>
    <t>Product Protocol Number:  
C4221015 
Involved Party / Country: 
Pfizer / Denmark
PI: Hansen, Torben Frostrup (Site Number: 1094) / Denmark
PI: Olesen, Rene Kroejgaard (Site Number: 1341) / Denmark
Awareness Date: 
03-Apr-2023 
Quality Event Description: 
Several Danish sites used temporary site sourced commercial product for Calcium Folinate and Oxaliplatin instead of IMP provided by Pfizer due to density information missing or delay in drug shipment. The CRO was informed of the issues and they informed Pfizer.
For Calcium Folinate 10 mg/mL: In order to ensure continuity in participants treatment while information on density is obtained, the site temporarily used the commercial calcium folinate available at the sites to treat 4 trial participants between 13-Jan-2023 to 09-Mar-2023.
For Oxaliplatin 5 mg/mL: Due to the delay in drug shipment, one trial participant was treated with site sourced commercial product to date for one time. This isolated issue is considered unrelated to the issue described above for Calcium Folinate. 
Note that Calcium folinate 10 mg/mL and Oxaliplatin 5 mg/mL used in this study are unmodified commercial products marketed in the EU/UK. 
What Should Have Happened: 
The sites should have used the IMP provided by the Sponsor instead of sourced commercial product. 
Why Did This Event Happen:  
Calcium folinate 10 mg/mL and Oxaliplatin 5 mg/mL used in this study are unmodified commercial products marketed in the EU/UK. The commercial products are then secondary packaged and/or labeled for use in the clinical study and are supplied centrally by Pfizer.
In order to meet supply demand for this study and ensure continuity in supply, new sources are added for the IMPs Calcium Folinate 10 mg/mL and Oxaliplatin 5 mg/mL. There have been no changes to the label, IMPD, and GMP-related documentation.
Danish sites require information on density for the IMPs being used in the trial, in particular for a gravimetric preparation system that is used by several sites for drug administration. Pfizer has experienced delays in obtaining this information from manufacturers. 
Immediate Actions Taken: 
The information was requested to the manufacturers.
For Calcium Folinate 10 mg/mL: After the Sponsor was informed, this temporary unplanned switch was documented as a protocol deviation and site advised accordingly. The information on density is now available for Calcium Folinate 10 mg/mL (TEVA GmbH) and the issue is considered resolved.
For Oxaliplatin 5 mg/mL: The Sponsor has received from manufacturer official documentation on density for Oxaliplatin 5 mg/mL from Seacross Pharmaceuticals Limited on 29 March 2023 and the isolated issue is considered resolved.
The Danish Health Authority was notified of temporary unplanned switch to site sourced commercial product for Calcium Folinate and Oxaliplatin at Danish sites on 31-Mar-2023. 
Historical Review:  
PI: Hansen, Torben Frostrup (Site Number: 1094) 
PI Search: There are no previous quality events identified for this PI on review of the quality database
PI: Olesen, Rene Kroejgaard (Site Number: 1341) 
PI Search: There are no previous quality events identified for this PI on review of the quality database
Protocol Search: There are no previous similar Quality Events identified for this Protocol upon review of quality database.
Assessment Comments:  
The submission indicates that sites 1094 and 1341 used site sourced commercial Calcium Folinate and Oxaliplatin instead of IP provided by Pfizer due to missing density information or delays in IP shipment. Commercial Calcium Folinate was used at the sites to treat 4 trial participants between 13-Jan-2023 to 09-Mar-2023. Commercial Oxaliplatin was used to treat one trial participant once. It is noted that information on density is now available, and the issue is considered resolved and will be documented as a PD. In addition, the Danish Health Authority was notified of the temporary unplanned switch to site sourced commercial IP on 31-Mar-2023.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</si>
  <si>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GCP_T1_Apr-2023_C4221015: IP Management_Pfizer; Hansen, Torben; Olesen, Rene_DNK</t>
  </si>
  <si>
    <t>The information was requested to the manufacturers.
For Calcium Folinate 10 mg/mL:
After the Sponsor was informed, this temporary unplanned switch was documented as a protocol deviation and site advised accordingly. The information on density is now available for Calcium Folinate 10 mg/mL (TEVA GmbH) and the issue is considered resolved.
For Oxaliplatin 5 mg/mL:
The Sponsor has received from manufacturer official documentation on density for Oxaliplatin 5 mg/mL from Seacross Pharmaceuticals Limited on 29 March 2023 and the isolated issue is considered resolved.
The Danish Health Authority was notified of temporary unplanned switch to site sourced commercial product for Calcium Folinate and Oxaliplatin at Danish sites on 31Mar2023.</t>
  </si>
  <si>
    <t>Product Protocol Number: 
C4221015 
Involved Party / Country:
Vendor: PPD / Italy 
Awareness Date:
05-Apr-2023
Quality Event Description:
Protocol Amendment 4 (SA10) was implemented late at 6 sites in Italy:
- PI Maiello (site 1253): SA10 approved by EC on 28-Sep-2022 (signed on 25-Oct-2022) - CEC approval on 20-Oct-2022 (Signed on 03-Nov-2022) received from Pfizer 16-Nov-2022 - and implemented on 23-Dec-2022 
- PI Zaniboni (Site 1226): SA10 approved by EC on 30-Aug-2022 (signed on 08-Sep-2022) - CEC approval on 20-Oct-2022 (Signed on 03-Nov-2022) received from Pfizer 16-Nov-2022 - and implemented on 23-Dec-2022
- PI Scartozzi (site 1054): SA10 approved by EC on 14-Dec-2022 and implemented on 21-Mar-2023
- PI Pinto (site 1143): SA10 approved by EC on 20-Dec-2022 (signed on 22-Dec-2022) and implemented on 04-Apr-2023
- PI Zampino (site 1163): SA10 approved by EC on 14-Dic-2022 (signed on 21-Dic-2022), received from Pfizer on 04-Jan-2023 and implemented on 27-Jan-2023
- PI Fenocchio (site 1029): SA10 approved by EC on 20-Dec-2022 (signed on 02-Feb-2023), received from Pfizer on 13-Feb-2023 and implemented on 15-Mar-2023.
What Should Have Happened:
Amendment 4 should have been implemented as soon as all approvals were in place.
Why Did This Event Happen: 
Amendment submissions is managed by local Pfizer and PPD Country Approval Specialist.  The CAS realized that there were delays but approvals were in place and to move forward with implementation.
Immediate Actions Taken:
CAS has been retrained and reminded that implementation must occur asap after all approvals are in place. CAS was reminded to keep track of approval status and to confirm with the local Pfizer if there are any doubts with regards to implementation.
Historical Review: 
Vendor, Country, and Protocol Search: There are no previous similar Quality Events identified for this Vendor in Italy on this protocol upon review of quality database.
Assessment Comments: 
Based on eForm entries, there was no system set auto-threshold for this event. The submission indicates that 6 sites in Italy implemented protocol amendment 4 late as the country approval specialist realized approvals were in place after delays in approvals.  It is noted that the CAS has been retrained and reminded that implementation must occur asap after all approvals are in place. CAS was reminded to keep track of approval status and to confirm with the local Pfizer team if there are any doubts with regards to implementation.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</si>
  <si>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GCP_T1_Apr-2023_C4221015: Vendor Responsibilities: Local Ethics Committee Approval; Site Implementation_PPD_ITA</t>
  </si>
  <si>
    <t>Safety Information Communication</t>
  </si>
  <si>
    <t>Failure/Incomplete safety communication</t>
  </si>
  <si>
    <t>Vollebergh, Marieke Anne</t>
  </si>
  <si>
    <t>Product Protocol Number: 
C4221015
Involved Party / Country:
PI: Vollebergh, Marieke Anne (Site Number: 1316) / Netherlands
Awareness Date:
14-Apr-2023
Quality Event Description:
During an Site Oversight Visit on 14-Apr-2023 protocol C4221015 Site 1316 it was noticed that for participant 1316-1007 vital signs/ ECOG/ med history and dermalogical exam are done (03-Nov-2022) prior to obtaining an Informed Consent Document (04-Nov-2022) from the participant.
What Should Have Happened:
According to ICH-GCP the Informed Consent procedure should take place first, before collecting participant data per protocol.
Why Did This Event Happen: 
Confusion between pre-screening and screening activities by Sub Investigator.
Immediate Actions Taken:
None yet.
Historical Review: 
PI Search: There are no previous quality events identified for this PI on review of the quality database
Assessment Comments: 
This appears to be a first occurrence, isolated event for this PI involving a single participant.  The submission indicates that at this site for 1 participant the vital signs/ ECOG/ med history / dermalogical exam were performed the day prior to obtaining an Informed Consent Document from the participant, due to confusion between pre-screening and screening activities by Sub Investigator. It is noted that no actions were taken yet to remediate this issue with the site and to ensure that the Sub-I is clear on sequence of consent vs. procedures.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</si>
  <si>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GCP_T1_Apr-2023_C4221015: Protocol Procedures and Informed Consent_Vollebergh, Marieke Anne_NLD</t>
  </si>
  <si>
    <t>Annemarie Walraven - van der Giessen</t>
  </si>
  <si>
    <t>not yet</t>
  </si>
  <si>
    <t>Product Protocol Number:  
C4221015 
Involved Party / Country: 
PI: Vollebergh, Marieke Anne (Site Number: 1316) / The Netherlands 
Vendor: PPD / The Netherlands 
Awareness Date: 
14-Apr-2023 
Quality Event Description: 
On 14-Apr-2023, during Site Oversight Visit the SREP became aware that the site utilizes an electronic Investigator Site File, in addition to the provided Investigator Site File Binders (hard copy). This was not requested during the site start-up phase/ Site Initiation Visit. 
A part of the ISF is therefore only available digitally - on a local drive that is available for project coordinators (SC and her colleagues). During monitoring visits, the CRA can review these documents by using a passcode protected USB drive. PI, Sub-I and RN cannot access this digital part of the ISF. Current protocol, ICF, nurse protocol and lab protocol are available for PI, Sub-I and RN on an the intranet called Trion. The ISF binders contain mostly initial versions of documents provided at SIV and wet-ink documents. 
What Should Have Happened: 
Site should have informed the CRA upfront and request if they can use an electronic ISF. CRA to verify if this site eISF is 21CFR compliant and request approval for use from the  C4221015 Study Team. 
Why Did This Event Happen:  
Study Coordinator explained that they use this electronic ISF also for other studies and therefore assumed this was also allowed for the Pfizer C4221015 study. 
Immediate Actions Taken: 
None yet.
Historical Review:  
PI Search: There is 1 previous Quality Event identified for this PI upon review of quality database.
PR 2225029_GCP_T1_Apr-2023_C4221015: Protocol Procedures and Informed Consent_Vollebergh, Marieke Anne_NLD
Assessment Comments:  
Based on eForm entries, there was no system set auto-threshold for this event. This appears to be a first occurrence, isolated event for this PI involving a single participant.  The submission indicates that site 1316 utilizes an electronic Investigator Site File (ISF), in addition to the hard copy binder provided by the study team. e-ISF was not requested during site start-up/SIV, and in turn a part of the ISF is only available digitally for study coordinators and not the PI, Sub-I or study nurse. During monitoring visits, the CRA can review these documents by using a passcode protected USB drive. CRA needed to verify if this site eISF is 21CFR compliant and request approval for use from the C4221015 Study Team prior to site implementation. It is noted that actions to remediate the event are pending.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</si>
  <si>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GCP_T1_Apr-2023_C4221015: ISF Documentation; System Access_Vollebergh, Marieke Anne; PPD_NLD</t>
  </si>
  <si>
    <t>Data Collection and Management, Quality Procedures</t>
  </si>
  <si>
    <t>Inadequate source data/documentation, Requirement/process not met</t>
  </si>
  <si>
    <t>none yet.</t>
  </si>
  <si>
    <t>Product Protocol Number:  
C4221015 
Involved Party / Country: 
PI: Lonardi, Sara (Site Number: 1264) / Italy 
Awareness Date: 
20-Apr-2023 
Quality Event Description: 
Participant 12641001 was to be assigned with IP kit [redacted] but it was not found so site manually assigned a different kit #.Pharmacists investigated what happened and found that IP kit [redacted] was given to participant 12641014 on 21-Mar-2023 instead of the correct kit.  
What Should Have Happened: 
Correct kits to be given to participant as assigned in IMPALA. 
Why Did This Event Happen:  
Human error.
Immediate Actions Taken: 
-CRA retrained the pharmacist
-Pharmacist confirmed more strict control will be implemented to avoid recurrence
-DCRs will be done to correct the kit numbers assigned to participants
-Sponsor informed
-Protocol Deviation to be tracked 
Historical Review:  
PI Search:  There were 2 previous Quality Events found for this PI upon review of the quality database.
PR 2194722_GCP_T1_Sep-2021_C4221015: Protocol Deviation: Exclusion Criteria_Lonardi, Sara_ITA
PR 2194034_GCP_T1_Sep-2021_C4221015: Exclusion Criteria_Lonardi, Sara_ITA 
Assessment Comments:  
There were no previous Medication Error related Quality Events for this PI upon review of quality database.  This appears to be a first occurrence, isolated event for this PI involving two participants. The submission indicates that a dosing error occurred on 21-Mar-2023 when 1 participant was randomized to an IP kit number however the IP staff pulled and administered a different kit number. This was due to the kit being administered to a different participant. It is noted that steps are being implemented to avoid future instances including re-training, DCRs and PDs recorded. The submission does not indicate significant adverse impact to participant safety, 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</si>
  <si>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GCP_T1_Apr-2023_C4221015: Medication Error_Lonardi, Sara_ITA</t>
  </si>
  <si>
    <t>Product Protocol Number: 
C4221015
Involved Party / Country:
PI: Lonardi, Sara (Site Number: 1264) / Italy
Awareness Date:
02-May-2023
Quality Event Description:
Clinical Team Manager was informed on 28-Apr-2023 about SAEs reported with full DOB for participant 12641017 on 27-Apr-2023. CTM read information coming back from vacation on 02-May-2023 and asked to confirm that there were no previous occurrence. Four Additional events were reported as PDs.   
What Should Have Happened:
SAE should have been submitted with only with year of birth.
Why Did This Event Happen: 
The form includes fields for day, month, and year of birth despite local countries regulations for collecting only the year.  SC was misled, although previously retrained.
Immediate Actions Taken:
SC retrained, FUP SAE submitted with only year of birth. Additional actions needed: PD to be tracked for participant 12641017, PI to be retrained and CRA will an action plan during IMV with PI and SC to avoid recurrence.   
Historical Review: 
PI Search:  There were 3 previous Quality Events found for this PI upon review of the quality database.
PR 2194722_GCP_T1_Sep-2021_C4221015: Protocol Deviation: Exclusion Criteria_Lonardi, Sara_ITA
PR 2194034_GCP_T1_Sep-2021_C4221015: Exclusion Criteria_Lonardi, Sara_ITA
PR 2225300_GCP_T1_Apr-2023_C4221015: Medication Error_Lonardi, Sara_ITA
Assessment Comments: 
This is a first occurrence, isolated event for the site related to duties of confidentiality. The submission indicates that the site submitted SAEs with the full DOB, contrary to Pfizer policy (Corporate Policy 404- Protecting the Privacy of Personal Data) and the duty to protect participant confidentiality. It is noted that the SC retrained, FUP SAE submitted with only year of birth. Additional actions needed: PD to be tracked for participant 12641017, PI to be retrained and CRA will an action plan during IMV with PI and SC to avoid recurrence.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</si>
  <si>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GCP_T1_May-2023_C4221015: Participant Confidentiality_Lonardi, Sara_ITA</t>
  </si>
  <si>
    <t>Actions taken:
-SQE raised
-SC retrained
-CTM informed
-global Pfizer informed
-FUP SAE submitted with only year of birth
Additional actions needed:
-PD to be tracked for pt 12641017
-PI to be retrained
-CRA will discuss this week during IMV with PI and SC an action plan to avoid recurrence since the form cannot be changed as per pfizer feedback 
-GSOC will be informed by CTM today 2May23</t>
  </si>
  <si>
    <t>Product Protocol Number:  
C4221015
Involved Party / Country: 
Vendor: PPD  / Italy  
Awareness Date: 
02-May-2023
Quality Event Description: 
The Pfizer contract for site 1264 was provided by CS to a Contract Manager (CM) not assigned to Pfizer study who forwarded the contract to another sponsor on 9-Mar-2022. On 24-Apr-2023, this Contract Manager (CM) was notified by the other sponsor that they noticed the contract wasn't the correct one.
What Should Have Happened: 
Documents should have been sent to the correct CM and Sponsor.
Why Did This Event Happen:  
CS sent documents to the wrong CM and CM did not realize that the wrong file was sent.
Immediate Actions Taken: 
CM asked the non- Pfizer Sponsor to delete all occurrences of the incorrect document out of their files. On 28-Apr-2023 Pfizer global and PPD clinical team have been informed that the non-Pfizer Sponsor confirmed on 01-May-2023 that the incorrect file was permanently deleted from their system. Privacy and Security incident team were informed. CM and CS will recheck docouments attached to the e-mails and e-mail addresses to be sure the correct documents are sent to correct Sponsors.
Historical Review:  
Vendor Search: There is 1 previous similar Quality Event identified for PPD upon review of quality database.
PR 2220087_GCP_T1_Jan-2023_BINIMETINIB, ENCORAFENIB: Sponsor Confidentiality_PPD_USA
[Pfizer/Array Safety meeting agenda was sent inadvertently to Merck.]
PE 2186662_GCP_T1_Apr-2021_C4221003: CMCD: Sponsor Confidentiality_PPD_Global
[internal PPD user (CRA) inadvertently uploaded an Array document in Veeva Vault (VV-TMF-3054455 - 17 Mar 2021 USA 1012 Monitoring Visit Log) simultaneously to Array-818-103 and XX study (another client / PPD study) on 04-Mar-2021. ]
PR 2180172_GCP_T1_Nov-2020_C4221004: Sponsor, Vendor and Site Personnel Data Confidentiality_POL
[vendor submitted a study document containing PI and study vendor information, to an external sponsor-Esai]
Protocol Search: There are no previous similar Quality Events identified for this Protocol upon review of quality database.
Assessment Comments:  
The submission indicates that the Pfizer contract for site 1264 was provided by CS to a Contract Manager (CM) that was not assigned to Pfizer study who forwarded the contract to another sponsor on 9-Mar-2022. On 24-Apr-2023, this CM was notified by the other sponsor that they noticed the contract wasn't the correct one. It is noted that CM asked the non- Pfizer Sponsor to delete all occurrences of the incorrect document out of their files. On 28-Apr-2023 Pfizer global and PPD clinical team have been informed that the non-Pfizer Sponsor confirmed on 01-May-2023 that the incorrect file was permanently deleted from their system. Privacy and Security incident team were informed. CM and CS will recheck documents attached to the e-mails and e-mail addresses to be sure the correct documents are sent to correct Sponsors.  The event appears to be appropriate for the study team to continue to manage, noted that the issue has already been escalated to GSOC for review. If there has been significant loss of data or confirmation confidentiality was compromised,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reporting to data protection authorities may be necessary.
…………………………………………………………………………………………………………………………………………….
Dear Annachiara,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</si>
  <si>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GCP_T1_May-2023_C4221015: Sponsor and Site Confidentiality_PPD_ITA</t>
  </si>
  <si>
    <t>CM asked the NON Pfizer Sponsor to delete all occurrences of the incorrect document out of their files
On 4/28/2023 Pfizer global and PPD clinical team have been informed
NON Pfizer Sponsor confirmed on 01May2023 that the incorrect file was permanently deleted from their system
Privacy and Security incident team informed 
CM and CS will recheck docs attached to the e-mails and e-mail addresses to be sure the correct docs are going to be sent to correct Sponsors</t>
  </si>
  <si>
    <t>Yaeger, Rona</t>
  </si>
  <si>
    <t>Product Protocol Number:
C4221015
Involved Party / Country:
PI: Yaeger, Rona (Site Number: 1003) / United States
Awareness Date:
28-Mar-2023
Quality Event Description:
The SAE was reported 23 days past the 24hrs reporting period. This is the second occurrence of reporting an SAE late, the first one AER#202101189972 was reported 51 days late; date of awareness was 20-Jul-2021, reported on 09-Sep-2021. Documented in PD log, I/A log and MVR in Seibel, the monitor is escalating to Pfizer as per INV04-GSOP-SD-GL04 v6.0 Late SAE Escalation 16Sep22 for Clinician Late SAE Letter.
What Should Have Happened:
SAE should have been properly assessed as an SAE and reported on 22-Oct-2021.
Why Did This Event Happen:
Site did not properly assess event as an SAE. Site did not adhere to SAE reporting timelines.
Immediate Actions Taken:
Site was retrained after first late SAE in September 2021. Site was requested to reassess SAE for reporting criteria in March 2023. Monitor escalated to CTM, SEP and Sponsor after 24hr deadline had passed.
CMCD Information:
Start Date: 21-Oct-2021
End Date: 28-Mar-2023
Reason for Start/End Date: NA
CMCD Requirement Not Met: AEM01-POL-RF02- Pfizer Awareness Date and Reporting Timeliness to Safety; AEM01-POL-RF07 Adverse Event Reportability Criteria
Instead of CMCD Requirement: QE was reported.
Historical Review:
PI Search:  There were 2 previous Quality Events identified for this PI upon review of quality database.
PR 2225788_GCP_T1_May-2023_C4761001: Medication Error_Yaegar, Rona D._USA
PR 2189891_GCP_T1_Jun-2021_C4221015: Randomization/Medication Error_Yaeger, Rona D._USA
Assessment Comments: 
This quality event represents CMCD non-conformance. The CMCD that is referenced by the event reporter is: AEM01-POL 8.0 Adverse Event Monitoring (AEM) System 01-Jun-2021.
This PI had no previous incidents of late SAE reporting upon review of quality database. This event would be considered the first occurrence and first documented intervention per INV04-GSOP-SD-GL04 6.0 Late Serious Adverse Event Escalation. This observation, of the second occurrence, of late SAE reporting should be remediated by the site monitor per guidance within INV04-GSOP-SD-GL04 6.0 Late Serious Adverse Event Escalation, effective 16-Sep-2022.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</si>
  <si>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GCP_T1_May-2023_C4221015: CMCD: SAE Reporting_Yaeger, Rona_USA</t>
  </si>
  <si>
    <t>Amy Dolak</t>
  </si>
  <si>
    <t>Site was retrained after first late SAE in Sept2021. Site was requested to reassess SAE for reporting criteria in March 2023. CRA escalated to CTM, SEP and Sponsor after 24hr deadline had passed.</t>
  </si>
  <si>
    <t>Guren, Tormod Kyrre</t>
  </si>
  <si>
    <t>Product Protocol Number: 
C4221015
Involved Party / Country:
PI: Guren, Tormod Kyrre (Site Number: 1055) / Norway
Awareness Date:
16-May-2023
Quality Event Description:
Expired IP administered to participant 10551001.
What Should Have Happened:
Expired IP should not have been administered.
Why Did This Event Happen: 
Visit performed out of window and site staff had issues in dispensing IP within IRT. Expired IP was not quarantined. Site staff picked up IP manually and didn't realize IP was expired.
Immediate Actions Taken:
-PI and SC informed and contacted participant immediately on 16May23 to get info on any possible issue related to expired drug administration; it was confirmed participant is fine.
-Global Pfizer informed
- CTM checked actual IP at site to be sure sufficient IP with good expiration date was available; no issue for this was found.
- Global Pfizer agreed to inform clinicians and Pfizer quality group.
CTM asked:
- to inform Head of pharmacist (potential issues with common drugs at site also)
- local team to get confirmation site staff quarantined all expired IP
- understand the process that failed; why expired IP not quarantined on time?
- CRA to go to Pharmacy asap to check the situation is fine
- retraining for site staff involved in the process
- PD to be tracked
- Check if EC/RA need to be notified.
Historical Review: 
PI Search: There were no previous Quality Events identified for this PI upon review of quality database.
Assessment Comments: 
This appears to be a first occurrence, isolated event for this PI involving a single participant. The submission indicates that a participant was administered expired investigational product (IP). It is noted that the participant was informed of the error and confirmed that the participant was fine. The CTM verified that the site’s IP supply was sufficient and within expiry. In addition, the CTM will confirm the site has quarantined the expired IP and research the event further to determine the cause. Site staff will be retrained on IP management and they will determine if the EC and/or RA need to be notified of the event. There is no indication in the submission of significant adverse impact to study participants or study data, due to this event.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This submission does not provide additional information on whether the expired IP was evaluated by Pfizer Pharm Sci GCS and if evaluated, whether the IP was deemed ‘Unacceptable-for-Use’.  
•	Please re-submit if the following situation is identified: IP is expired IP, and was dispensed to participant(s) who took the IP, and the IP was confirmed to be ‘Unacceptable-for-Use’ by Medicinal Sciences GCS
•	Please do not re-submit if Medicinal Sciences GCS determines the IP was “Acceptable-for-use”.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</si>
  <si>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GCP_T1_May-2023_C4221015: Medication Error: Expired IP_Guren, Tormod Kyrre_NOR</t>
  </si>
  <si>
    <t>-PI and SC informed and contacted patient immediately on 16May23 to get info on any possible issue related to expired drug administration-- it was confirmed patient is fine.
-Global Pfizer informed
- CTM checked actual IP at site to be sure suficient IP with good expiration date was available- no issue for this found
-Global Pfizer agreed to inform clinicians and Pfizer quality group
CTM asked:
- to inform Head of pharmacist (potential issues with common drugs at site also)
-local team to get confirmation site staff quarantined all expired IP
- understand the process that failed-why expired IP not quarantined on time?
- CRA to go to Pharmacy asap to check the situation is fine
- retraining for site staff involved in the process
- PD to be tracked
- Check if EC/RA need to be notified</t>
  </si>
  <si>
    <t>Heyman, Sofia</t>
  </si>
  <si>
    <t>Product Protocol Number: 
C4221015
Involved Party / Country:
PI: Heyman, Sofia (Site Number: 1371) / Sweden  1493884
Awareness Date:
19-May-2023
Quality Event Description:
CTM was informed on 19-May-2023 that one back-up Study Coordinator (SC) on 16-Mar-2022 was delegated to some specific tasks for which training was not completed. Only 1 task had associated a completed documented training: eCRF training was completed on 11-May-2023 (that was however after start date on delegation log). No protocol specific tasks were performed until now by back up SC.
What Should Have Happened:
Study staff should have a start date on the delegation log only after trainings have been completed. Only eCRF training was completed on 11-May-2023.
Why Did This Event Happen: 
Back-up SC was mentioned in Siebel as "study nurse" instead of "Study Coordinator". It was not clear for study staff that start date should be added only after trainings completions.
Immediate Actions Taken:
-Trainings to be completed (if not done) previously by back-up SC
-If Trainings have been done- to be documented officially by PI in writing
- PI and SCs to be informed and retrained on correct delegation log completion
-SC and PI to be reminded no protocol specific tasks must be completed until proper training is documented
-start dates on the delegation log to be corrected when the actual trainings have been completed/will be completed for each tasks. Only eCRF training was completed on 11May22 but start date was recorded as 16-Mar-2022 (SIV Dates) for all the delegated tasks
-CTM to make sure this information is clear to the entire CRA/RSM team (adding to CRA call as an item to be discussed)
-PD to be recorded in Siebel
CMCD Information:  
Start Date: 16-Mar-2022
End Date:  19-May-2023
Reason for Start/End Date: NA
CMCD Requirement Not Met: INV02-INV04-GSOP-RF09 10.0 Signature Sheet and Delegations of Duties Log: Date Started on delegation log:  Indicates the start date when the individual has been delegated study tasks AND all training appropriate to those tasks is completed prior to performing any study related duties
Instead of CMCD Requirement: Site staff recorded as start date the date of the SIV
Historical Review: 
PI Search: There are no previous quality events identified for this PI on review of the quality database
Assessment Comments: 
This quality event represents CMCD non-conformance.  The CMCDs that are referenced by the event reporter are:
INV02-GSOP 5.0 Investigational Site Selection, Preparation, and Initiation 01-Jun-2022
INV04-GSOP 4.0 Investigational Site Management and Monitoring 01-Jun-2022
This appears to be a first occurrence, isolated event for this site.  The submission indicates that 1 back-up SC was delegated to some specific tasks for which training was not completed, however no protocol specific tasks were performed to now by back up SC. It is noted that trainings will be completed (if not done) previously by back-up SC, if Trainings have been done will be documented officially by PI in writing,  PI and SCs to be informed and retrained on correct delegation log completion, SC and PI to be reminded no protocol specific tasks must be completed until proper training is documented, start dates on the delegation log to be corrected when the actual trainings have been completed/will be completed for each tasks, CTM to make sure this information is clear to the entire CRA/RSM team (adding to CRA call as an item to be discussed), and -PD to be recorded in Siebel.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</si>
  <si>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GCP_T1_May-2023_C4221015: CMCD: Delegation of Duties and Study Training_Heyman, Sofia_SWE</t>
  </si>
  <si>
    <t>Quality Oversight, Training &amp; Qualifications</t>
  </si>
  <si>
    <t>Inadequate Principal Investigator quality oversight, Training not completed or documented in a timely manner</t>
  </si>
  <si>
    <t>CT33-Study Training, INV02-Investigational Site Selection, Preparation, and Initiation</t>
  </si>
  <si>
    <t>ACTIONS:
-Trainings to be completed (if not done) previously by back-up SC
- If Trainings have been done- to be documented officially by PI in writing
- PI and SCs to be informed and retrained on correct delegation log completion
-SC and PI to be reminded no protocol specific tasks must be completed until proper training is documented
-start dates on the delegation log to be corrected when the actual trainings have been completed/will be completed for each tasks. Only eCRF training was completed on 11May22 but start date was recorded as 16Mar22 (SIV Dates) for all the delegated tasks
- CTM to make sure this information is clear to the entire CRA/RSM team (adding to CRA call as an item to be discussed)
-PD to be recorded in Siebel</t>
  </si>
  <si>
    <t>Product Protocol Number: 
C4221015
Involved Party / Country:
PI: Yaeger, Rona (Site Number: 1003) / United States
Awareness Date:
24-May-2023
Quality Event Description:
Participant self-reported issues and medications listed on the site Review of Systems (ROS) were not entered into the InForm database. The CRC indicated that the ROS is not considered source by the site SWP: Identifying Source Documentation of Conventional Clinical Trial Data and Reconciling Discrepancies within the EMR, version 19-Dec-2022. Approval of the SWP was submitted to Pfizer for approval, it was denied. The site refused to revise the SWP or enter data as requested. As all data was entered into the InForm database within the queries, the queries were closed due to site requesting to be closed for this study. The Review of Systems is a written form given to participants during clinic visits and lists potential issues next to a yes or no, the participants review the form, checking symptoms they have experienced since the last clinic visit. The form is then reviewed and signed by the nurse and treating physician before being uploaded into the EMR. Per site, this document is not source.
What Should Have Happened:
ROS should be considered source and data entered into database.
Why Did This Event Happen: 
Site refused data entry.
Immediate Actions Taken:
Site refused data entry or change in SOP.
CMCD Information:  
Start Date: 24-May-2023
End Date:  24-May-2023
Reason for Start/End Date: NA
CMCD Requirement Not Met: Site Source Definition does not align with SOP Source definition
Instead of CMCD Requirement: Data will not be entered into the database
Historical Review: 
PI Search:  There were3  previous Quality Events identified for this PI upon review of quality database.
PR 2226291_GCP_T1_May-2023_C4221015: CMCD: SAE Reporting_Yaeger, Rona_USA
PR 2225788_GCP_T1_May-2023_C4761001: Medication Error_Yaegar, Rona D._USA
PR 2189891_GCP_T1_Jun-2021_C4221015: Randomization/Medication Error_Yaeger, Rona D._USA
Assessment Comments: 
This quality event represents CMCD non-conformance.  The CMCD that is referenced by the event reporter is: INV04-GSOP 4.0 Investigational Site Management and Monitoring 01-Jun-2022
The submission indicates that Review of Systems (ROS) form is not considered to by source documentation per site SOP, resulting in site refusal to enter participant self-reported issues and medications listed on the ROS into the InForm database. A previous approval request by the site to do this, was denied. There is no indication in the submission of significant adverse impact to study participants or study data, due to this event.  There were no previous similar Quality Events for this PI upon review of quality database. It is clear that this issue does need to be remediated with the site and PI. However based on submitted information if possible to remediate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and the monitor/study team should continue to manage and document the Quality Event, and the actions taken to address and remediate the issue with the site for compliance per usual monitoring/oversight process. It is not clear whether CAPAs have been established with the site to address/correct this issue. It is recommended, if not done already that CAPAs be established and agreed with the site for this needed data entry. 
If not done already, the study team Clinician, Clinical Scientist and/or CPM/CSTL support may be necessary to discuss and reinforce with the PI the importance of adherence to the required data entry process for this particular data.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overall study data integrity, please resubmit providing details on the impact.</t>
  </si>
  <si>
    <t>GCP_T1_May-2023_C4221015: CMCD: Site Data Entry, Source Documentation: Review of Systems (ROS)_Yaeger, Rona_USA</t>
  </si>
  <si>
    <t>Incomplete or inaccurate data transcription and/or entry</t>
  </si>
  <si>
    <t>Site refused data entry or change in SOP</t>
  </si>
  <si>
    <t>Product Protocol Number: 
C0371002
C4201002  (Alias: ARRAY-067-102)
C4221015
C4221016 (Alias: KEYNOTE-B80)
C3391008
C4671028 (Alias: EPIC-SRI)
C3941005 
C4521001
C4671034
C4631001
C4671042
Involved Party / Country:
Vendor: PPD Laboratories / Global 
Awareness Date:
31-May-2023
Quality Event Description:
Due to issues with the interface between PPD Laboratory Services and the kitting vendors, expiration dates for individual tubes within some kits were not applied correctly in the PPD database. This has caused incorrect evaluation of whether or not samples received were collected using expired supply item. The interface issues have been resolved and sites can continue to use all kits they have received.  This issue is documented under PPDs Quality Event Investigation (QEI) 74396.
What Should Have Happened:
Expiration dates for all individual tubes within kits must be applied correctly in the PPD database.
Why Did This Event Happen: 
This resulted due to issues with the interface between PPD lab services and their kitting vendors.
Immediate Actions Taken:
PPD PMs will be reaching out to Pfizer study teams this week with further details regarding impacted samples.
Historical Review: 
Keyword / Vendor Search: There are 3 Quality events identified involving PPD and expired kit issues.
PR 2226954_GCP_T1 Minor_May-2023_C5261001: Vendor Responsibilities: Lab Kit Management_PPD Laboratories_USA
[expiration date of 01-Jun-2023 on baggie; should have been 02-Mar-2024]
PR 2209437_GCP_T2_Jun-2022_C4671026: Lab Kit Supplies_PPD Laboratories_Global
[Issues with rreplacement of expired lab kits affected potential enrollment]  
PR 2179877_GCP_T1_Nov-2020_C2501007: Vendor Responsibilities: Lab Supplies_PPD Laboratories_USA
[lab kit should contain the earliest expiration date and should not be blocked by the label]
Assessment Comments: 
Based on eForm entries, there was no system set auto-threshold for this event.  The submission indicates that due to an interface issue with PPD Laboratory Services and their kitting vendor, expiration dates for individual tubes within some kits were not applied correctly in the PPD database.  Additionally, this caused incorrect evaluations on whether or not samples received were collected with expired supply items.  It is noted that interface issues have been resolved, and sites can continue to use the kits they have received.  PPD PMs will be reaching out to Pfizer study teams this week with further details regarding impacted samples. There is no indication in the submission of adverse impact to study participants or study data, due to this event.  If you receive new information after PPD contacts the study teams with further details regarding the impacted samples, and there is impact to participant safety and data integrity, please resubmit a quality event with the detailed information.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</si>
  <si>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Minor_Jun-2023_Multiple: Vendor Responsibilities: Lab Kit Management_PPD Laboratories</t>
  </si>
  <si>
    <t>Karen Barrett</t>
  </si>
  <si>
    <t>PPD PMs will be reaching out to Pfizer study teams this week with further details regarding impacted samples.</t>
  </si>
  <si>
    <t>Karanikolova, Teodora Sotirova</t>
  </si>
  <si>
    <t>Product Protocol Number: 
C4221015
Involved Party / Country:
PI: Karanikolova, Teodora Sotirova (Site Number: 1279) / Bulgaria
Awareness Date:
12-Jun-2023
Quality Event Description:
Participant 12791018 was consented by a Sub-I not delegated by PI for this study and task and assessed some eligibility criteria.
What Should Have Happened:
Study specific tasks should have been conducted by people correctly trained and officially delegated by PI.
Why Did This Event Happen: 
PI explained that this medical doctor was included in the site team after the SIV and she missed that he was not included officially in the site staff for the trial.
Immediate Actions Taken:
-PI retrained about correct steps to be followed for their staff to be officially included on the trial and delegated for specific tasks.
-New Sub-Investigator instructed not to perform any other study related tasks until all trainings and documents have been correctly completed
-Global Pfizer informed on 13-Jun-2023.
-CTM requested PD to be tracked in Siebel.
Historical Review: 
PI Search: There were no previous Quality Events identified for this PI upon review of quality database.
Assessment Comments: 
This appears to be a first occurrence, isolated event for this PI. The submission indicates that a new Sub-Investigator at the site consented one participant and assessed some of their eligibility criteria; tasks to which the PI was not delegated. In addition, the new Sub-Investigator has not completed required study training. It is noted that the PI was retrained on the process for including staff to the study and for task delegation. The Sub-Investigator has been instructed not to conduct study activities until requirements are met and, a PD will be recorded in Siebel to document the event.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</si>
  <si>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Minor_Jun-2023_C4221015: Delegation of Duties; Study Training_Karanikolova, Teodora Sotirova_BGR</t>
  </si>
  <si>
    <t>CT33-Study Training, No Process Assigned</t>
  </si>
  <si>
    <t>-PI retrained about correct steps to be followed for their staff to be officially included on the trial and delegated for specific tasks
-New Investigator instructed not to perform any other study related tasks until all trainings and documents have been correctly completed
-Global Pfizer informed on 13Jun23
-CTM requested PD to be tracked in Siebel</t>
  </si>
  <si>
    <t>Product Protocol Number:
C4221015
Involved Party / Country:
PI: Guren, Tormod Kyrre (Site Number: 1055) / Norway
Awareness Date:
15-Jun-2023
Quality Event Description:
Only a part of IP infusions preparation were made using the Bio Safety Cabinet (BSC), upon investigation it was found that each participant had more than the normal IP assigned.    
What Should Have Happened:
IP infusions should have been prepared by the process under Bio Safety Cabinet as per the IP manual.
Why Did This Event Happen: 
It was not clear at the PTA and SIV that only a partial IP preparation was made under BSCs. This site is using their standard method to prepare IP infusions and not following the guidelines in the IP manual.
Immediate Actions Taken:
CRA and local Pfizer re-trained pharmacy staff about the correct IP preparation conditions during IMV done in June, CRA requested a written procedure specific for the Breakwater study to guide all pharmacists on what is requested for our study and our IP preparation.  CRA to double check correct BSC is used as per IP manual instructions.  Retraining to all pharmacy staff involved in the study IP preparation to be completed asap. PD to be tracked, PI to be informed and follow up closely until issue resolution. Global Pfizer informed.
Historical Review: 
PI Search: There is one Quality Event identified for this PI upon review of quality database.
PR 2226302_GCP_T1_May-2023_C4221015: Medication Error: Expired IP_Guren, Tormod Kyrre_NOR
(A single participant administered expired investigational product)
Assessment Comments: 
The submission indicates that the while preparing IP Infusions, the site only prepared part of the IP under Bio Safety Cabinet and according to their own their own standard operating procedures.   It is noted that the CRA and local Pfizer re-trained pharmacy staff about the correct IP preparation conditions during IMV done in June, CRA requested a written procedure specific for the Breakwater study to guide all pharmacists for IP preparation.  CRA to double check correct BSC is used per IP manual instructions.  Retraining on all pharmacy staff involved in the study on IP preparation to be completed asap. PD to be tracked, and PI to be informed and follow up closely until issue resolution. Global Pfizer was informed.  It is not clear to the Assessor based on the information in the submission the number of participants impacted.  The submission indicates there was no adverse impact to participant safety, nor other medical concerns. The event appears to be appropriate for the monitor/study team to continue to manage.
As such, the event does not appear to materially pose or have a substantial likelihood to impact participant safety, rights, confidentiality, and well-being; data integrity and/or scientific rigor; compliance with regulatory requirements; license obligations; or trust in the clinical research enterprise per QMS01 criteria.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participant safety or to any of the criteria noted above due to this event, or if the issue persists post-remediation, please resubmit providing detail on the impact.</t>
  </si>
  <si>
    <t>GCP_T1 Minor_Jun-2023_C4221015: Medication Preparation Error_Guren, Tormod Kyrre_NOR</t>
  </si>
  <si>
    <t>Product Protocol Number: 
C4221015
Involved Party / Country:
PI: Guren, Tormod Kyrre (Site Number: 1055) / Norway
Awareness Date:
16-Jun-2023
Quality Event Description:
The C4221015 study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
On 11 May 2023, site 1055 administered Investigational Product (IP) to participant 10551001 which was past expiry. One dose of both Bevacizumab and Oxaliplatin with expirations of 30-Apr-2023 and 31-Mar-2023 respectively were administered to the participant.  This event was initially reported via T1 QE PR 2226302 on 16-May-2023, however, an update was provided on 05-July-2023 through this SQE that Medicinal Sciences GCS had determined that IP was unacceptable for use. Site Study coordinator contacted patient on 16-May-2023 and confirmed participant had no adverse events (AE) related to this incident.
During a subsequent monitoring visit the site monitor (SM) raised an issue regarding understaffing at the pharmacy leading to a high workload which compromised the accuracy and quality of work performed.</t>
  </si>
  <si>
    <t>GCP_T2 Major_Jul-2023_C4221015: Medication Error: Expired IP with Dosing_Guren, Tormod Kyrre_NOR</t>
  </si>
  <si>
    <t>Root Cause Analysis-A root cause analysis was conducted. Brainstorming and 5-Whys analysis were used to determine the underlying causes of the issues and identify Corrective and Preventative Actions (CAPAs).-PI Guren is associated with 2 proposed, planned, or ongoing studies in the corporate clinical trials registry. An awareness email was sent to the respective study team members on 6-Jul-2023 informing them of the issue, requesting them to consider impact to their study and if appropriate take and document action for their study.-N/A</t>
  </si>
  <si>
    <t>Yes</t>
  </si>
  <si>
    <t>In addition to remediations already taken (described in previous SQE 2226302), site staff implemented additional preventive/remediations:
- they are increasing pharmacy staff of about 2 units since they were understaffed
- they will be sure there will be real back up pharmacists for the studies
- implemented immediately internal checklist to be sure to re-check expiry dates before administering IP to patient
- Head of pharmacy and PI have been well informed and are keeping monitored the situation
-CRA came back with additional onsite visits to check progress and confirmed the site was going into the right direction</t>
  </si>
  <si>
    <t>The SQE Team along with the study team will determine if there is any impact to data and if the data will be used.</t>
  </si>
  <si>
    <t>Shepard, Kelly</t>
  </si>
  <si>
    <t>Product Protocol Number:  
C4221015 
Involved Party / Country: 
PI: Guren, Tormod Kyrre (Site Number: 1055) / Norway 
Awareness Date: 
10-Jul-2023 
Quality Event Description: 
CTM has been informed delegation log at site 1055 was not properly completed for IP administration task. This task was assigned by mistake to pharmacists that are not administering IP. Only 1 participant involved 10551011 (C1D1 on 17-Apr-2023) - still ongoing. 
What Should Have Happened: 
IP administration task to be assigned to people actually administering IP. 
Why Did This Event Happen:  
According to feedback received, Pfizer delegation log is quite confusing and it was misunderstood. At this site drugs are administered by specific nurses that are managing specifically IP administrations. According to SC it is impossible to delegate all them. 
Immediate Actions Taken: 
CRA contacted SC and informed that Delegation Log was not properly completed and asked to correct the log
CRA discussed about who is really taking care of IP administrations
SC proposed to train and delegate the head of the nurses responsible for IP administrations- due to many people involved in IP administrations
CTM informed Global Pfizer
Additional actions needed:
PI to be informed and to agree on the proposed plan. 
Historical Review:  
PI Search: There are 3 Quality Events identified for this PI upon review of quality database.
PR 2228318_GCP_T2 Major_Jul-2023_C4221015: Medication Error: Expired IP with Dosing_Guren, Tormod Kyrre_NOR [Ongoing; Inv. Lead: A Hanth]
*PR 2226302_GCP_T1_May-2023_C4221015: Medication Error: Expired IP_Guren, Tormod Kyrre_NOR
(A single participant administered expired investigational product)
PR 2227651_GCP_T1 Minor_Jun-2023_C4221015: Medication Preparation Error_Guren, Tormod Kyrre_NOR  
(Not prepared according to BioSafetyCabinet) 
Assessment Comments:  
The submission indicates that site 1055 did not document personnel administering IP correctly on the Pfizer provided Delegation Log. According to feedback received, the delegation log was misunderstood, as this site’s IP is administered by specific nurses, it is impossible to delegate all them. It is noted that the team have taken actions to remediate including correcting the log, re-training of the head nurse and findings were sent to Pfizer to determine how to remediate.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</si>
  <si>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Minor_Jul-2023_C4221015: Delegation of Duties_Guren, Tormod Kyrre_NOR</t>
  </si>
  <si>
    <t>-CRA contacted SC and informed that Delegation Log was not properly completed and asked to correct the log
-CRA discussed about who is really taking care of IP administrations
-SC proposed to train and delegate the head of the nurses responsible for IP administrations- due to many people involved in IP administrations
-CTM informed Global Pfizer
-SQE raised
Additional actions needed:
- PI to be informed and to agree on the proposed plan</t>
  </si>
  <si>
    <t>Creemers, G.J.M.</t>
  </si>
  <si>
    <t>Product Protocol Number: 
C4221015
Involved Party / Country:
PI: Creemers, G.J.M. (Site Number: 1230) / Netherlands
Awareness Date:
11-Jul-2023
Quality Event Description:
On 11-Jul-2023, during Site Oversight Visit the SREP became aware that the site utilizes an electronic Investigator Site File (ISF), in addition to the provided Investigator Site File Binders (hard copy). This was not requested during the site start-up phase/ Site Initiation Visit. A part of the ISF is therefore only available digitally- on a local drive that is available for site staff (PI, Sub Inv and study coordinators). During monitoring visits, the monitor can review these documents by using a passcode protected USB drive or via the hospital computer/monitoring account. The paper ISF binders are not inspection ready.
What Should Have Happened:
Site should have informed the monitors upfront and requested that they could use an electronic ISF.
Why Did This Event Happen: 
Local drive is a working folder, but the site should have kept the paper ISF binders up to date.
Immediate Actions Taken:
Monitor to verify if this site eISF is a validated system and if this is 21CFR compliant and request approval for use from the C4221015 Study Team using an Electronic Source Readiness Assessment (eSRA) form.
Historical Review: 
PI Search: There were no previous Quality Events identified for this PI upon review of quality database.
Assessment Comments: 
The submission indicates that site 1230 is using an electronic Investigator Site File (eISF); the site’s use of an eISF was not raised to the monitor at the during the start-up phase, PTA or SIV. The monitor confirmed they are able to access and review the eISF. In addition to the eISF, the site is uses the study-provided ISF binder for paper hard copy documents, however, the binder is not in an inspection ready state. It is noted that the monitor is verifying if the site’s eISF is a validated and 21CFR compliant system, and will have the site complete the Electronic Source Readiness Assessment (eSRA) for study team review.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</si>
  <si>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Minor_Jul-2023_C4221015: Investigator Site File_Creemers, G.J.M._NLD</t>
  </si>
  <si>
    <t>Document Management</t>
  </si>
  <si>
    <t>Inadequate/Failure to implement good documentation practices</t>
  </si>
  <si>
    <t>none yet</t>
  </si>
  <si>
    <t>Soria, Andrea Gabriela</t>
  </si>
  <si>
    <t>Product Protocol Number: 
C4221015
Involved Party / Country:
PI: Soria, Andrea Gabriela (Site Number: 1185) / Argentina
Awareness Date:
16-Jun-2023
Quality Event Description:
Investigator from site 1185 signed Main ICD V4.4.4 (related to Protocol Am4) with participants 1001 on 05-May-2023 and 1002 on 06-Jun-2023.
What Should Have Happened:
Participants should have signed Main ICD V2.4.4 (related to Protocol Am3).
Why Did This Event Happen: 
Investigators believed that they could implement Protocol Am4 because it was approved by local CE and regional regulatory authority, however the MoH approval was pending and implementation letter had not been sent to the site yet.
Immediate Actions Taken:
CRA contacted investigators and explained ICD V4.4.4 was not yet to be used, implementation is still pending. CRA instructed investigators to contact participant 1002 to reconsent on the approved ICD version before moving forward with study procedures (1001 was screen failure, no need to reconsent).
CMCD Information:  
Start Date: 06-Jun-2023
End Date:  15-Jun-2023
Reason for Start/End Date: NA
CMCD Requirement Not Met: Site 1185 used ICD version that was not yet implemented.
Instead of CMCD Requirement: Site 1185 used ICD version that was not yet implemented.
Historical Review: 
PI Search: There are no previous quality events identified for this PI on review of the quality database.
Assessment Comments: 
This quality event represents CMCD non-conformance. The CMCD that is referenced by the event reporter is: CT05-GSOP 8.0 Informed Consent Document 06-Dec-2021.
There were no previous quality events for this PI. This appears to be a first occurrence of ICD issue at this site. The submission indicates that 2 participants (1 had screen failed) signed the ICD V4.4.4 Informed Consent Documents prior to CE approval due to a misunderstanding by the PI.  The local CE and regional regulatory authority approved the ICD, however the MoH approval was still pending and implementation letter was not sent.  It is noted that CRA contacted investigators and explained ICD V4.4.4 was not yet to be used, implementation is still pending. CRA instructed investigators to contact participant 1002 to reconsent on the approved ICD version before moving forward with study procedures (1001 was screen failure, no need to reconsent).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event and the actions taken to address the issue. If it is identified that the ICD process issue persists after remediations have been put in place, please resubmit.</t>
  </si>
  <si>
    <t>GCP_T1 Minor_Jul-2023_C4221015: CMCD: Informed Consent Process_Soria, Andrea Gabriela_ARG</t>
  </si>
  <si>
    <t>CT05-Informed Consent Document, CT29-Management of Clinical Study BioSpecimens</t>
  </si>
  <si>
    <t>Carolina Cristofaro</t>
  </si>
  <si>
    <t>CRA contacted investigators and explained ICD V4.4.4 was not yet to be used because implementation is still pending. CRA instructed investigators to contact subject 1002 to reconsent to proper ICD version before moving forward with study procedures (1001 was screen failure, no need to reconsent).</t>
  </si>
  <si>
    <t>Product Protocol Number: 
C4221015
Involved Party / Country:
Pfizer / Global 
Awareness Date:
13-Jul-2023
Quality Event Description:
Due to a worldwide shortage of calcium folinate 300mg, Pfizer had to identify an alternative source.  Bendafolin 200mg was identified and sourced as an interim product until calcium folinate 300mg becomes available again (approximately September 2023).  Per the SmPC of bendafolin, it is not allowed to be given at the same time, through the same IV line as oxaliplatin.  Clinical Supply was not aware of this and instruction was only given to the sites after the fact.  Some participants may have received the two drugs together in the same IV line. The IP Manual is currently being updated with this critical information. 
According to the manufacturer of bendafolin, the formulation of bendafolin contains the excipient trometamol, an approved nucleophilic excipient for calcium folinate solutions and has slightly alkaline properties. Since oxaliplatin (and also Irinotecan) is rapidly degraded by hydrolysis in alkaline solution, but precipitation between oxaliplatin and trometamol has also been reported, oxaliplatin should not be mixed with bendafolin in the same infusion solution. The infusion solutions of oxaliplatin and bendafolin should be administered separately from each other and one after the other.  In summary, the manufacturer states that the reason for the incompatibility of bendafolin with oxaliplatin and irinotecan is the excipient trometamol.  Some preparations from other manufacturers do not contain this excipient. 
Separating infusions is not standard practice for sites.
What Should Have Happened:
Prior to obtaining the new source of Bendafolin, the IP manual should have been updated with this critical information.  During the process to update the IP manual with the new source, the piece of information regarding not to mix was omitted. However, sites received the SmPC where this is stated
Why Did This Event Happen: 
Central team not aware that this specific product cannot be combined as most other manufactures of the product do allow it.
Immediate Actions Taken:
1. Urgent memo issued to sites informing them of the requirement not to mix.
2. CRO to collect from sites if participants (and how many) were given the two drugs together. Follow-up with clinical to assess safety.  
3. Follow-up with manufacturer to see if there is any guidance to be given when participants receive the two products together.
Historical Review: 
Protocol Search: There were no previous similar Quality Events identified for this Protocol upon review of quality database.
Assessment Comments: 
The submission indicates that bendafolin 200mg, provided to sites while calcium folinate 300mg supply is unavailable, cannot be given through the same IV line as oxaliplatin; however, some participants may have received the two drugs together in the same infusion. It is noted that sites have been informed of the requirements not to mix the bendafolin in the same IV line via an urgent memo and the IP Manual is being updated with this instruction. Separating infusions is not standard practice for sites and the study team is determining if any participants were administered an incorrectly prepared dose and if so, will assess if there has been participant safety impact. In addition, the team are consulting the bendafolin manufacturer for guidance if it is incorrectly administered. There is no indication in the submission of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</si>
  <si>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 Minor_Jul-2023_C4221015: Investigational Product Management_Pfizer_Global</t>
  </si>
  <si>
    <t>Inadequate packaging, label, drug instructions</t>
  </si>
  <si>
    <t>1. Urgent memo issued to sites informing them of the requirement not to mix.
2. CRO to collect from sites if patients (and how many) were given the two drugs together. Follow-up with clinical to assess safety.  
3. Follow-up with manufacturer to see if there is any guidance to be given when patients receive the two products together.</t>
  </si>
  <si>
    <t>Product Protocol Number: 
C4221015
Involved Party / Country:
PI: Kim, Tae Won (Site Number: 1296) / Korea
Quality Event Description:
An open label, multicoated, randomized phase 3 study of first line Encorafenib plus Cetuximab with or without chemotherapy versus standard of care therapy with a safety leading of Encorafenib and cetuximab plus chemotherapy in participants with metastatic Braf v600e-mutant colorectal cancer.  
On Friday 14-Jul-2023, participant 12961015 was admitted to the hospital with Epigastric pain and was hospitalized for pancreatitis. On Saturday, 15-Jul-2023 the Sub-Investigator (Sub-I) was notified of the hospitalization but not provided any additional information of the participants status. Country (Korea) privacy laws would not allow the Sub-I to obtain additional information of the participants' status without physically going to the hospital to obtain that information in person. The Sub-I did not obtain the additional information about the participants status from the hospital until Monday, 17-Jul-2023 and subsequently completed the SAE notification. 
The incident represents the sites’ third late SAE reported. Two of the three late SAE reports relate to the time the site notification of the need for an SAE occurring on non work hours for the site.</t>
  </si>
  <si>
    <t>GCP_T2 Major_Jul-2023_C4221015: SAE Reporting_Kim, Tae Won_KOR</t>
  </si>
  <si>
    <t>Root Cause Analysis-A Root Cause Analysis was conducted. Brainstorming and 5-Whys analysis were used to determine the underlying causes of the issues and identify Corrective and Preventive Actions (CAPAs).-An awareness email was not required as there were no other studies associated with this PI and no other studies were impacted.-Not Required</t>
  </si>
  <si>
    <t>Late SAE Reporting</t>
  </si>
  <si>
    <t>For Case 1) and 3), SAEs that occurred during weekends, SAEs were reported immediately during site staff's working hours. CRA re-trained site staff on the SAE reporting requirement and timeline.
For Case 2), re-training on the SAE definition and reporting requirements was performed.
Protocol deviations have been reported to IRB and recorded in CTMS.</t>
  </si>
  <si>
    <t>The Site has updated the communication expectation (e.g., calling by phone or text messages) for investigators to notify SC. The SC contact information was provided to the PI and Sub-I. The CRA (Clinical Research Associate) will conduct retraining with site on the need to contact the SC on evenings and weekends to gather additional information to assist in the timely reporting of AEs (Adverse Events) and SAEs (Serious Adverse Events).</t>
  </si>
  <si>
    <t>Dalton, Dabney</t>
  </si>
  <si>
    <t>1055, 1057, 1082, 1156, 1205, 1218, 1240, 1312, 42001, 42002</t>
  </si>
  <si>
    <t>Guren, Tormod Kyrre, Heinrich, Daniel, Jacobsen, Kari Dolven, Jahnsen, Jorgen, Oldenburg, Jan, Ruppert, Martin Cornelius, Schjesvold, Fredrik, Vatn, Simen</t>
  </si>
  <si>
    <t>Product Protocol Number:  
C1071007 (Alias: MagnetisMM-7) 
Involved Party / Country: 
PI: Schjesvold, Fredrik (Site Number: 1156) / Country 
Awareness Date: 
24-Jul-2023 
Quality Event Description: 
GPD BC Information Alert sent via email:  "Norway; Sweden; Denmark - Norway - Reports of a network outage from a cyberattack affecting at least 12 ministry services." "Media sources are reporting a network outage that is affecting web services of multiple government agencies throughout Norway. The cause of the network outage was reported to be a cyberattack. The outage is affecting the services of the Security and Service Organization (DSS) platform, which is reportedly used by all ministries, although at least 12 unspecified ministries were confirmed to have been exposed. The nature of the disruption was not immediately reported. The expected duration of the outage has not been specified." 
What Should Have Happened: 
Sites' IT staff should have informed investigational site's staff and then informed their CRA. 
Why Did This Event Happen:  
Unknown. 
Immediate Actions Taken: 
Unknown. 
Historical Review:  
PI Search: There is 1 previous Quality Event identified for this PI upon review of quality database.
PR 2224273_GCP_T1_Mar-2023_C1071005: Potential IP Temperature Excursion_Schjesvold, Fredrik_NOR
Assessment Comments: 
The submission indicates reports of a network outage from a cyberattack affecting multiple government agencies throughout Norway. It is unknown if study and participants’ data are potentially accessible; however, the event poses a potential for significant adverse impact to participants’ rights and to Pfizer data confidentiality if the site’s data security may have been compromised. Therefore, this will be a T2 (Major) Quality Event. If the investigation confirms that participant rights and/or Pfizer data confidentiality are impacted, the Investigation Lead should consider whether the event should be raised to threshold T3. 
The Pfizer Privacy Office. Pfizer R&amp;D Privacy Steward and Global Security Operations Center (GSOC) are copied for awareness and in case they have additional questions, actions or clarifications to discuss with the SQE Investigation team.
________________________________________
Dear Alexander,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</si>
  <si>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GCP_T2 Major_Jul-2023_C1071007: Cyber Security Incident_Schjesvold, Fredrik_NOR_DOWNGRADE</t>
  </si>
  <si>
    <t>Alexander Polman</t>
  </si>
  <si>
    <t>Unknown</t>
  </si>
  <si>
    <t>The SQE team along with the study team will determine if the involved party's status can be returned to Available or should remain Unavailable Prior Approval Required in the Corporate Clinical Trials Registry.</t>
  </si>
  <si>
    <t>QE-060666</t>
  </si>
  <si>
    <t>Masahiro Goto (C4221015-1413)</t>
  </si>
  <si>
    <t>Issue; Possibility of encorafenib overdose for subject 14131001 on 3Aug2023.(Per protocol: 4 capsules of encorafenib is to be taken per day) Background: 07Aug2023:-The study coordinator checked the remaining number of capsules of encorafenib taken from C9D1 to C9D15 (24Jul2023-06Aug2023) when 14131001 came to the hospital for the C9D15 (07Aug2023) visit, and found that the number of capsules was 1 less than the expected number. -The study coordinator asked the subject why there was one less capsule, but since the subject did not know the reason, the study coordinator thought that the 1 capsule of encorafenib may have been lost and asked the subject to search at home and to bring in the lost encorafenib capsule during the next visit, if found.-The study coordinator shared the information with the investigator and CRA that the remaining number of encorafenib capsules did not match and decided to wait for the results after the subject searches at home.  -The study coordinator confirmed that the subject had taken the prescribed dose of 4 capsules of encorafenib during the period C9D1~C9D15 (24Jul2023-06Aug2023) according to the subject dosing diary, so no encorafenib overdose had occurred with the current information on 7Aug2023. 08Aug2023:-The subject's family called the study coordinator and commented that the subject had been checking the number of capsules of encorafenib every morning before taking the medication, but on 3August2023, the subject had taken encorafenib before checking the number of capsules. The study coordinator and invsestigator also determined that although the subject had recorded that the number of encorafenib capsules taken on 3Aug2023 was 4 capsules, there was a possibility that the subject had accidentally taken 5 capsules on 3Aug2023 if the subject had not checked the number of capsules before administration. -The study coordinator shared this information with the CRA. The CRA informed the study coordinator that the bottle may have originally contained one less capsule of encorafenib or that one capsule may have been lost, and requested that the site to consider whether to treat this case as an overdose or not.-The subject's health status was confirmed at the time of the visit on 07Aug2023, and the investigator confirmed that no adverse events affecting the subject's safety were observed as a result of the overdose.-The Medical Monitor was notified (per protocol, the medical monitor must be notified of overdoses) of the potential overdose event, and the medical monitor acknowledged the situation with no further medical comments. 09Aug2023:-After review at the site, since there was no evidence to deny the fact that there was an overdose, and even after the subject searched at home, one capsule was not found, so it was determined that this will be reported as a potential overdose of encorafenib on 3Aug2023. Note: 14131001 encorafenib dosing period was from 12Dec2022 to the current date. No safety concerns have occurred due to this potential overdose per investigator’s opinion.</t>
  </si>
  <si>
    <t>GCP_Minor_Aug-2023_C4221015: Potentially Unblinding: Medication Error_Goto, Masahiro_JPN</t>
  </si>
  <si>
    <t>CT13-Investigational Product</t>
  </si>
  <si>
    <t xml:space="preserve">CAPACorrective action:-As per protocol, the overdose was reported to the medical monitor within 24 hours of discovery of the overdose (8Aug2023). -The CRA asked the investigator to record the background of this potential overdose in the source documents. Preventive action:-The site has retrained the subject to check the number of capsules before they take the investigational product. -The site has instructed the subject to notify the site in the event of an overdose.-PI+SI+study coordinator+pharmacist will provide thorough medication instructions to subjects.(This is already being done, so they will be more careful and give constant reminders to check the number of capsules before administration, especially for subject 14131001.) </t>
  </si>
  <si>
    <t>NA</t>
  </si>
  <si>
    <t>Human Performance</t>
  </si>
  <si>
    <t>Learning Error</t>
  </si>
  <si>
    <t>QE-062915</t>
  </si>
  <si>
    <t>David Cunningham (C4221015-1455)</t>
  </si>
  <si>
    <t>Site has shared subject identifiers on 3 occasions in a 4 week period.  On 26Jul23 they forwarded 2 email chains to the PPD study team; further down the chain were patient names. On 10Aug23 an email was sent to the PPD team in error.  It was a handover email which contained multiple patient idetifiers and was intended for site internal staff only CTM was alerted on 22Aug23 that for subject 13591002 a urinalysis tube was received at PPD Central Labs with a handwritten patient name on the tube</t>
  </si>
  <si>
    <t>GCP_Minor_Aug-2023_C4221015: CMCD:  Participant Confidentiality_Cunningham, David_GBR</t>
  </si>
  <si>
    <t>REG09-Protecting the Privacy of Personal Information</t>
  </si>
  <si>
    <t xml:space="preserve">Where emails were received; those emails were deleted and no copies were filed.  The issue was escalated to the PPD study manager and the PI informed and site re-trained. Regarding the blood collection tube; the patient name was blacked out and the issue was escalated to the study management to follow up with the site </t>
  </si>
  <si>
    <t>Inconsistency Error</t>
  </si>
  <si>
    <t>QE-064134</t>
  </si>
  <si>
    <t>CELLCARTA</t>
  </si>
  <si>
    <t>C4221015 BRAF central lab testing vendor, Cellcarta, reported that in the latest run results of both the Cellcarta lab in China and Cellcarta lab in US have a serious increase in invalid results of samples.</t>
  </si>
  <si>
    <t>GCP_Major_Aug-2023_C4221015: Vendor Responsibilities: BRAF Sample Testing_Cellcarta_CHN, USA</t>
  </si>
  <si>
    <t>&lt;p id="isPasted" style="text-align: justify;"&gt;The C4221015 study is a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 style="text-align: justify;"&gt;&lt;b&gt;&amp;nbsp;&lt;/b&gt;&lt;/p&gt;&lt;p style="text-align: justify;"&gt;Between 11-July-2023 and 23-August-2023, the C4221015 study BRAF central lab testing vendor, CellCarta, reported an unexpected increase in invalid/indeterminate results at two of the three central labs for the study, CellCarta United States (US) and CellCarta China (CHN) labs. The third central lab, CellCarta Belgium (BE), did not experience an increase in invalid results. The samples were flagged with the “IC_BELOW_ACCEPTED_RANGE” flag during the Mutation Assessment (MA) phase of testing to confirm BRAF mutation status. On 23-Aug-2023, in response to this alert, Pfizer requested CellCarta US and CHN labs initiate a hold on all sample testing until further instruction.&lt;/p&gt;&lt;p style="text-align: justify;"&gt;&lt;br&gt;&lt;/p&gt;&lt;p style="text-align: justify;"&gt;The CellCarta US lab initially reported an increase in invalid results with the “IC_BELOW_ACCEPTED_RANGE” flag between 26-Jul-2023 and 11-Aug-2023, however, once the samples were either diluted or re-extracted, where necessary, and then retested following the standard repeat testing procedure described by QIAGEN, the kit manufacturer, in the QIAGEN BRAF V600E Rotor-Gene Q (RGQ) Polymerase Chain Reaction (PCR) Kit Instructions for Use (IFU), all sample results were confirmed valid. All retesting occurred prior to the testing hold initiated on 23-Aug-2023. As the CellCarta US lab followed the standard repeat testing procedure and all results were valid at the end of retesting, Pfizer approved CellCarta US lab to resume testing on 08-Sep-2023, with the instruction to inform Pfizer upon receipt of additional “IC_BELOW_ACCEPTED_RANGE” flags and to proceed as per the IFU for retesting.&amp;nbsp;&lt;/p&gt;&lt;p style="text-align: justify;"&gt;&lt;br&gt;&lt;/p&gt;&lt;p style="text-align: justify;"&gt;The CellCarta CHN lab reported an increase in invalid results with the “IC_BELOW_ACCEPTED_RANGE” flag between 11-Jul-2023 and 23-Aug-2023 and additionally issued indeterminate reports for seven participants (10981020, 11391024, 11541019, 11951001, 11391025, 11981001, and 14231009) during that timeframe. On 23-Aug-2023, it was discovered that CellCarta CHN lab had not followed the IFU standard repeat testing procedure as only three of the four repeat test runs were completed for all the samples prior to the issuance of the indeterminate reports for these participants. Per the IFU, a total of four testing runs are allowed on a single sample and should be completed when the “IC_BELOW_ACCEPTED_RANGE” flag is populated in the Mutation Assessment (MA) phase after passing the Sample Assessment (SA) phase. Per the IFU, retest Run 1 and Run 2 should be performed from the original extraction and retest Run 3 and Run 4 from a new extraction. If the re-extracted sample is invalid after Run 3 and Run 4, the sample status must be reported as “Indeterminate”. Instead of following the IFU, CellCarta CHN lab followed their internal procedure which was to only retest up to Run 3. If the result was invalid after Run 3, the sample status was reported as “Indeterminate” and no further testing was carried out. Upon review of previous indeterminate reports issued by CellCarta CHN lab, one additional instance from 25-Apr-2023, for one additional participant (11541010), was identified where invalid results with the “IC_BELOW_ACCEPTED_RANGE” flag were reported as indeterminate after the completion of retest Run 3. This additional participant was added to the scope of this QE investigation to ensure proper steps were taken with respect to retesting and/or reporting.&lt;/p&gt;&lt;p style="text-align: justify;"&gt;&lt;br&gt;&lt;/p&gt;&lt;p style="text-align: justify;"&gt;An internal investigation was conducted by CellCarta CHN to evaluate potential cause of the invalid results with the ‘IC_BELOW_ACCEPTED_RANGE” flag. The investigation considered, and subsequently ruled out, technician experience/training, reagent/control preparation, sample integrity, component storage conditions, and instrumentation as potential cause(s)/contributor(s) of the invalid results. As the CellCarta investigation did not identify a potential cause of the invalid results, CellCarta submitted a Clinical Complaint to QIAGEN&lt;span style="font-size: 11px;"&gt;&amp;nbsp;&lt;/span&gt;on 29-Aug-2023 and requested they investigate the BRAF V600E RGQ PCR kits (lot #175024184, exp 29DEC2024) provided to the CellCarta CHN lab. QIAGEN initiated a technical investigation in September 2023 in response to the Clinical Complaint submitted by CellCarta to replicate the “IC_BELOW_ACCEPTED_RANGE” flag to then be able to provide a solution to CellCarta however, to date, this work is still ongoing.&amp;nbsp;&lt;/p&gt;&lt;p style="text-align: justify;"&gt;&lt;br&gt;&lt;/p&gt;&lt;p&gt;QIAGEN manufactured 13 replacement BRAF V600E RGQ PCR kits (lots 175037144 and 175037151) which were received by CellCarta CHN on 17-Nov-2023. Under Pfizer’s instruction, CellCarta CHN lab conducted repeat testing between 17-Nov-2023 and 29-Nov-2023 for the participants listed above as having indeterminate results reported, except participant 11541019 as site 1154 did not have additional samples available for this participant. Valid results were obtained for all samples retested utilizing the replacement kits and were reported as such. The indeterminate report issued on 14-Aug-2023 for participant 11541019 was confirmed as final. After confirmation of the valid retest results, Pfizer approved CellCarta CHN lab to resume sample testing on 05-Dec-2023.&lt;/p&gt;</t>
  </si>
  <si>
    <t>Reported to study team, requested run log to vendor, requested run log review to QIAGEN-kit manufacturer. Requested to hold sample testing in China and US labs.</t>
  </si>
  <si>
    <t>Lack of experience with the retest strategy for the “IC_BELOW_ACCEPTED_RANGE” flag as this was the first time the lab had encountered the issue., QIAGEN’s preliminary evaluation indicated that the invalid results with the “IC_BELOW_ACCEPTED_RANGE” flag issue were most likely a result of a combination&amp;nbsp; of factors that had not previously been encountered.&amp;nbsp;</t>
  </si>
  <si>
    <t>Equipment/System/Facility, Human Performance</t>
  </si>
  <si>
    <t>Learning Error, System/Application</t>
  </si>
  <si>
    <t>Failure or Malfunction, Lack of Experience/No Skills Practice or Hands-on Repetition</t>
  </si>
  <si>
    <t>QE-064208</t>
  </si>
  <si>
    <t>Takeshi Kato (C4221015-1402)</t>
  </si>
  <si>
    <t>Protocol C4221015, Site 1402, Country; Japan, first time occurenceAlthough the annual safety report reporting deadline to the head of institution was 11Aug2023, the safety report was provided to the head of institution on 17Aug2023 for site 1402. (The safety report was provided to the PI on 20Jul2023 so there was no delay to reporting to the PI) How issue was discovered:24Aug2023: The CRO QC pointed out that the date on the Form 16 is past the safety report provisioning deadline, which was discovered during the QC process when filing the document into PTMF. Site rule:PI: Safety information is provided by SIRIUS (safety reporting system), and the PI's opinion is obtained by fax.Head of institution: The PI's opinion must be added to the comment section of Form 16 (J-GCP local form 16: Safety report) and submitted to the head of institution through the clinical trial secretariat in the site system as IRB review documents, and the safety report must be submitted with Form 16. Since the PI’s opinion on the safety report was delayed, the submission of form 16 was delayed and a a result, the safety report provision to the head of institution was delayed. Issue background:20Jul2023: Safety information sent to PI via SIRIUS27Jul2023: Requested PI to provide opinion on safety information 16Aug2023: Received PI's opinion via fax.17Aug2023: PI's opinion was added in the comments section of Form 16 and submitted to the head of institution through the site system</t>
  </si>
  <si>
    <t>GCP_Minor_Aug-2023_C4221015: Safety Report Submissions_Kato, Takeshi; PPD, INC_JPN</t>
  </si>
  <si>
    <t>Safety Information Communication, Site Management and Monitoring</t>
  </si>
  <si>
    <t>Failure to escalate or resolve issue, Failure/Incomplete safety communication</t>
  </si>
  <si>
    <t>CT08-Clinical Site Management and Monitoring, SAF03</t>
  </si>
  <si>
    <t xml:space="preserve">Corrective Action:-Provided safety information to the head of institution (Completion date:17Aug2023)-Confirmed that there were no omissions or delays in providing safety information at other sites and at site 1402 (Completion date: 24Aug2023) -CRA will record GCP deviation on the issue and actions log per Pfizer SOP (protocol deviation recording guideline)Preventive action:Preventive actions to make the CRA aware of the deadline for providing safety information in other Pfizer trials conducted at other sites/PPDSNBL:CRA:.- CRAs will check the provision status of safety information to the PI/Head of Institution at each site during the weekly CRA call and the remote CRA (CRA lead (primary monitor)) will follow up with the CRA team so that the safety information is provided to all PIs/head of instution at each site within the deadline　-Re-establish the internal CRO alert/reminder process to prevent omissions/delays in the provision of safety information and have CRAs utilize the process. CRA leaders will follow up with CRAs until the safety report is provided to all PIs/Head of Institutions QC(PPD CTA): -Will specify the deadline for provision of safety information via bi-weekly email and notify CRAs -Alerts will be sent out by CTAs to CRAs to prevent omissions/delays in provision of safety information, and CTAs follow up until completion of provision by the deadline (CTMs will follow up/remind facilities that have not yet responded).　 CTM(PPD monitoring lead): Check status of safety reporting provision to sites during bi-weekly CRA calls  Site: Discussions to prevent further safety reporting delay was made with the site staff by the CRA on 28Aug2023. As a result, the site agreed that the CRA can provide the safety information to the head of institution via email before the PI’s opinion is obtained for the applicable safety information. For further safety reports, safety information will be sent to the head of institution via email in a timely manner so further delay in safety report provision will not occur. </t>
  </si>
  <si>
    <t>Decision Error</t>
  </si>
  <si>
    <t>PPD, INC.</t>
  </si>
  <si>
    <t>QE-066937</t>
  </si>
  <si>
    <t>PFIZER</t>
  </si>
  <si>
    <t>Future date entered in Siebel CTMS for Date of participant Informed Consent prevented the informed consent protocol deviation from being autocreated. Since these PDs were not recorded or assessed for their importance, it is possible that some may have been required to be included in a CSR. There were 9 completed/terminated studies and 10 ongoing studies impacted by this particular issue.  For the completed/terminated studies, these PDs will need to undergo an impact assessment (per DMB08) to determine whether the studies will require a re-release, CSR errata, or if the impact will not require action (i.e. depending on their classification of importance). For the 10 ongoing studies, the teams will also need to assess potential impact to any interim reporting.</t>
  </si>
  <si>
    <t>GCP_Major_Sep-2023_Enterprise: CTMS Protocol Deviation Autocreation_Pfizer_Global</t>
  </si>
  <si>
    <t>&lt;p id="isPasted" style="margin-left: 0in;"&gt;&lt;span style="font-family: Calibri, sans-serif;"&gt;Product Protocol Number:&amp;nbsp;&lt;/span&gt;&lt;/p&gt;&lt;p style="margin-left: 0in;"&gt;&lt;span style="font-family: Calibri, sans-serif;"&gt;Multiple Protocols&lt;/span&gt;&lt;/p&gt;&lt;p style="margin-left: 0.25in;"&gt;&lt;span style="font-family: Calibri, sans-serif;"&gt;&amp;nbsp;&lt;/span&gt;&lt;/p&gt;&lt;p style="margin-left: 0in;"&gt;&lt;span style="font-family: Calibri, sans-serif;"&gt;Involved Party / Country :&amp;nbsp;&lt;/span&gt;&lt;/p&gt;&lt;p style="margin-left: 0in;"&gt;&lt;span style="font-family: Calibri, sans-serif;"&gt;Pfizer Global&lt;/span&gt;&lt;/p&gt;&lt;p style="margin-left: 0.25in;"&gt;&lt;span style="font-family: Calibri, sans-serif;"&gt;&amp;nbsp;&lt;/span&gt;&lt;/p&gt;&lt;p style="margin-left: 0in;"&gt;&lt;span style="font-family: Calibri, sans-serif;"&gt;Description of the Issue:&lt;/span&gt;&lt;/p&gt;&lt;p style="margin-left: 0in;"&gt;&lt;span style="font-family: Calibri, sans-serif;"&gt;On 31-Aug-2023 an issue was found within the Siebel Clinical Trial Management System (CTMS) Informed Consent logs where if a date in the future was entered by the monitor in the participant consent date field a Protocol Deviation (PD) would not be generated when an issue was reported by the monitor. Typically, the monitor records the date of participant consent, which is verified during a monitoring visit, along with an “Issue Code” which indicates whether a PD is required for the consent. If an issue code requiring a PD is selected CTMS automatically generates a PD for the event. However, it was found that if the monitor selected a date in the future for participant consent CTMS would not generate a PD regardless of the issue code selected.&amp;nbsp;&lt;/span&gt;&lt;/p&gt;&lt;p style="margin-left: 0in;"&gt;&lt;span style="font-family: Calibri, sans-serif;"&gt;&amp;nbsp;&lt;/span&gt;&lt;/p&gt;&lt;p style="margin-left: 0in;"&gt;&lt;span style="font-family: Calibri, sans-serif;"&gt;Investigation Details:&amp;nbsp;&amp;nbsp;A root cause analysis was conducted. Brainstorming and 5-Whys analysis were used to determine the underlying causes of the issues and identify Corrective and Preventative Actions (CAPAs).&amp;nbsp;&lt;/span&gt;&lt;/p&gt;&lt;p style="margin-left: 0.25in;"&gt;&lt;span style="font-family: Calibri, sans-serif;"&gt;&lt;span style="background-color: rgb(255, 255, 255);"&gt;&amp;nbsp;&lt;/span&gt;&lt;/span&gt;&lt;/p&gt;&lt;p style="margin-left: 0in;"&gt;&lt;span style="font-family: Calibri, sans-serif;"&gt;Scope/Impact Analysis:&lt;/span&gt;&lt;/p&gt;&lt;p&gt;&lt;span style="font-family: Calibri, sans-serif; color: rgb(48, 48, 48); background-color: rgb(255, 255, 255);"&gt;31 consents across 19 studies were found to have issue codes that should have generated PD’s but did not due to a future date being entered in the participant consent field.&amp;nbsp;&lt;/span&gt;&lt;/p&gt;</t>
  </si>
  <si>
    <t>CAPA Plan included error proofing that will prevent reoccurrence</t>
  </si>
  <si>
    <t>CT40-Management of Protocol Deviations</t>
  </si>
  <si>
    <t>Amy HauptmannBaker</t>
  </si>
  <si>
    <t xml:space="preserve">The Siebel CTMS team identified the issue and held a meeting with the process leads for Protocol Deviations and Monitoring. </t>
  </si>
  <si>
    <t>A future date should never be entered for participant consent date as a monitor is not able to verify consent was given at a future date. However, the CTMS system allows for future date entry which can lead to monitor error when recording consent date. These errors prevent the automatic generation of PD’s for issue codes which should trigger a PD.</t>
  </si>
  <si>
    <t>Equipment/System/Facility</t>
  </si>
  <si>
    <t>System/Application</t>
  </si>
  <si>
    <t>Lack of or Inadequate Design/Functionality</t>
  </si>
  <si>
    <t>QE-067618</t>
  </si>
  <si>
    <t>Linn Tetlie (C4221015-1060)</t>
  </si>
  <si>
    <t>Patient 10601004 was consented by phone on 18 August 23 and received a copy of the ICD by e-mail, his tumor sample was sent to central lab on 21Aug23 and on 23 August 23, when patient was at site, he was asked to sign the ICD (back-dating it).</t>
  </si>
  <si>
    <t>GCP_Minor_Sep-2023_C4221015: Informed Consent Process; Sample Collection_Tetlie, Linn_NOR</t>
  </si>
  <si>
    <t>During IMV performed at site 1060 on 13Sep23, CRA retrained both PI and one of the SC (Stray) on the correct ICD process to be followed (documented on e-mail to CTM dated 13Sep23).CTM suggested CRA the following further actions:-track the deviation in Siebel- retrain all people delegated for the informed consent process and document retrainings-understand if also PI back dated ICD (taken for granted by CRA, but not actually verified with PI)</t>
  </si>
  <si>
    <t>na</t>
  </si>
  <si>
    <t>QE-073404</t>
  </si>
  <si>
    <t>Sara Lonardi (C4221015-1264)</t>
  </si>
  <si>
    <t>Expired Irinotecan (kit n. 104477) remained at site mixed with IP that were available for use</t>
  </si>
  <si>
    <t>GCP_Minor_Oct-2023_C4221015: Investigational Product (IP) Management_Lonardi, Sara_ITA</t>
  </si>
  <si>
    <t>Inadequate accountability/record keeping</t>
  </si>
  <si>
    <t>Kit 104477 was separated by other kits and marked as Expired not to use. Pharmacy staff retrained by CRA about expiry date checks.CTM reminded CRA to reconcile always versus iView2 reports to avoid recurrence.CTM reminded to notify CTM about this events immediately since SQE must be submitted asap.Global Sponsor informed.</t>
  </si>
  <si>
    <t>Omission Error</t>
  </si>
  <si>
    <t>QE-074329</t>
  </si>
  <si>
    <t>Tetsuya Hamaguchi (C4221015-1411)</t>
  </si>
  <si>
    <t>Protocol: C4221015, Site: 1411What happened:Subject 14111004 (Arm B) had paroxysmal atrial fibrillation as a complication and was taking pilsicainide hydrochloride hydrate (acceptable concomitant medication per protocol). However, the subject has symptoms of atrial fibrillation at home on 6Oct2023 early morning, and visited the emergency department of the site(the same site that the subject is visiting for the C4221015 study) as an unplanned visit. An electrocardiogram was taken which showed results of atrial fibrillation, and the physician at the emergency department decided to administer verapamil hydrochloride (moderate CYP3A4 inhibitor, which is a drug to be taken with care per protocol.) intravenously. The patient was referred to the cardiology department on the same day and was prescribed verapamil hydrochloride (40 mg/2 tablets x 7 days) to alleviate the symptoms. When using verapamil hydrochloride, since it is a moderate CYP3A4 inhibitor, the dose of [IP redacted] should have been reduced according to protocol 6.5.3.6, but it was not reduced. There was no safety concerns regarding this subject per investigator’s opinion due to this issue. What should have happened:When moderate CYP3A4 inhibitors are used, dose reduction of [IP redacted] was required according to protocol 6.5.1.2 as below. 6.5.1.2. CYP and UGT Substrates and Inhibitors “[IP redacted] has been identified to be primarily metabolized by CYP3A4 and to a lesser extent by CYP2C19 in vitro. Concomitant use of moderate CYP3A4 inhibitors should be avoided. If use of a moderate CYP3A4 inhibitor is unavoidable, short-term use (≤30 days) following discussion with the Sponsor may be permitted with an accompanying dose reduction to one-half of the [IP redacted] dose prior to use of the moderate CYP3A4 inhibitor.After the inhibitor has been discontinued for 3 to 5 elimination half-lives, resume the [IP redacted]  dose that was taken prior to initiating the CYP3A4 inhibitor.“Background: 11Nov2022: Paroxysmal atrial fibrillation was identified as an AE for subject 14111004. This AE is currently ongoing. 6Oct2023: The subject experienced atrial fibrillation at home and visited the site’s emergency department. The electrocardiogram resulted in atrial fibrillation, and the physician at the emergency department decided to administer verapamil hydrochloride intravenously. On the same day, the patient was referred to the cardiology department, and verapamil hydrochloride was prescribed for symptom relief (40 mg/2T x 7 days).The SI, who was the subject’s primary clinical trial investigator could not be contacted on the same day since he was not at the site. 10Oct2023: The CRC noticed from the record on the medical record that verapamil hydrochloride had been administered to the subject and prescribed on 6Oct2023 and confirmed that the dose of [IP redacted] had not been reduced and contacted the CRA. The CRA informed the CRC that per protocol, [IP redacted]  dose had to be reduced when verapamil hydrochloride was administered and requested the investigator in charge determine whether to reduce or discontinue the dose of [IP redacted] and to inform the subject ASAP on what actions to take with [IP redacted] .  10Oct2023: The subinvestigator (investigator in charge of subject 14111004’s clinical trial) called the subject and instructed the subject to skip the [IP redacted]  dose from 11Oct2023 (the subject had already taken encorafenib for 10Oct2023). The investigator confirmed the subject's safety and that subject had no new symptoms due to the co-administration of [IP redacted] without dose reduction and verapamil hydrochloride. The investigator decided that additional decisions on the subject’s future treatment plan will be discussed with cardiologist during the next planned outpatient visit on 12Oct2023, and the investigator’s decision was to temporarily stop [IP redacted] treatment until he could directly see the subject’s safety situation on 12Oct2023, which is why [IP redacted] was asked to be temporarily stopped, rather than reduced. 12Oct2023: The subject visited the site as planned and since no palpitations or other symptoms were found, and since per investigator (both the clinical trial investigator and cardiologist) opinion, there were no additional safety concerns for the subject, the cycle 11 day 1 study visit was performed as planned, and the investigator instructed the subject to take verapamil hydrochloride concomitantly with [IP redacted] , with a reduced dose of encoreafenib (2Cap/day). Note: The situation of the subject and dose reduction and co-administration of [IP redacted] (reduced dose of 2 caps/day as compared to the usual 4caps/day before reduction) and verapamil hydrochloride has been discussed and approved by the study medical monitor on 11Oct2023. Since there were no safety concerns for the subject, the study investigator allowed concomitant administration of reduced [IP redacted]  dose and verapamil hydrochloride which is acceptable per protocol.  &amp;lt;Future schedule&amp;gt;16Oct2023: planned consultation with the cardiologist (to discuss future course of action to see if there is a medication that can replace verapamil hydrochloride or other treatment options).26Oct2023: planned cycle 11 day 15 visit for the study. The investigator will reevaluate the future plan of concomitant therapy (e.g., if verapamil hydrochloride will be discontinued when  [IP redacted]  will be returned to the original dose of 4 capsules) Supplementary note: There was a previous issue of failure to reduce the dose of [IP redacted] when a moderate cyp3A4 inhibitor (alocaris) was administered in the same subject, but due to the following reasons, this is not a repetition of the same issue:The moderate CYP3A4 drug administered at the time was different (before: alocaris, this time: verapamil hydrochloride ) The root cause of the issue is different, and is not a continuous occurrence.</t>
  </si>
  <si>
    <t>GCP_Minor_Oct-2023_C4221015: Potential Unblinding Info: Medication Error: Dose Reduction_Hamaguchi, Tetsuya_JPN</t>
  </si>
  <si>
    <t xml:space="preserve">Corrective action: 10Oct2023: The investigator in charge contacted subject 14111004 by phone and confirmed that there are no new symptoms nor safety concerns due to the subject taking verapamil hydrochloride and [IP redacted]  without reducing the dose concomitantly. The investigator instructed the subject to suspend [IP redacted] treatment from 11Oct2023. The administration of verapamil hydrochloride was judged to be unavoidable due to an emergency situation.∙ protocol deviations records will be documented at the site Preventive action; Since it is necessary to establish a communication flow at the site where not only the investigator in charge is contacted during emergencies but also the CRC and other subinvestigators/PI are contacted in the event of an emergency outpatient visit, the following preventive actions are currently being discussed with the site: -The site will reconsider what is written in the “profile section” (top page of the medical record with caution messages related to the subject) of the medical record: The record in the profile section should be prepared so that the physicians who are not part of the clinical trial  contacts the clinical trial sub-investigator/PI/CRC when the patient visits the outpatient clinic, so the site has agreed to see if additional contact information can be added in the “profile section” of subjects' medical records (not just this subject, but for other subjects as well) –Training from the PI to the outpatient physicians to ensure that they check the profile section of the patient's medical record and contact necessary site staff when they treat subjects who are taking part in clinical trials.  </t>
  </si>
  <si>
    <t>Application Error</t>
  </si>
  <si>
    <t>QE-074359</t>
  </si>
  <si>
    <t>1013, 1029, 1056, 1214</t>
  </si>
  <si>
    <t>Ainara Soria Rivas (C4221016-1214), Maria Reyes Ferreiro Monteagudo (C4221015-1013), Maria Reyes Ferreiro Monteagudo (C4221022-1029), PAU LLACER IBORRA (C3651011-1056)</t>
  </si>
  <si>
    <t>Cristina Pueyo (a pharmacist from Hospital Ramón y Cajal, an Spanish site, participating in Pfizer clinical trials) raised that she wanted to have her e-mail updated as she was not receiving e-mails from Firecrest to complete the trainings. The e-mail she had in Firecrest was   .madrid.org" rel="noreferrer noopener" style="background-color: transparent;" target="_blank" title="mailto:cplopez@salud.madrid.org"cplopez@salud.madrid.org and she wanted to update this to: .ryc.eecc@gmail.com" rel="noreferrer noopener" style="background-color: transparent;" target="_blank" title="mailto:cpl.ryc.eecc@gmail.com"cpl.ryc.eecc@gmail.com. When Cristina Pueyo requested the change of e-mail to the Firecrest support, the SRP realized that the e-mail she had in her account .madrid.org" rel="noreferrer noopener" style="background-color: transparent;" target="_blank" title="mailto:cplopez@salud.madrid.org"cplopez@salud.madrid.org did not correspond to her. After investigating this issue, the SRP discovered that this e-mail belonged to one physician from other hospital not involved in clinical trials nor Pfizer studies. This physician was contacted by Pfizer SRP and he said that he never accessed to Firecrest.</t>
  </si>
  <si>
    <t>GCP_Minor_Oct-2023_Mutiple: Firecrest: Email Address Update_Multiple Sites_ESP</t>
  </si>
  <si>
    <t>Almudena Guerrero</t>
  </si>
  <si>
    <t xml:space="preserve">As immediate action, this wrong user, was requested by the SRP, to raise an e-mail to Firecrest support in order to remove his e-mail from Firecrest as he has never participated in any Pfizer clinical trials. Firecrest support removed the access from that wrong user.When this e-mail was removed another e-mail was automatically associated to Cristina Pueyo .madrid.org" rel="noreferrer noopener" target="_blank" title="mailto:cplopez_fc@salud.madrid.org"cplopez_fc@salud.madrid.org . However as it was not clear that this e-mail belonged to Cristina Pueyo (and could not be confirmed as she was on holidays), the SRP requested Firecrest support to remove all the e-mails from this user until all the information is clarified. </t>
  </si>
  <si>
    <t>Personnel</t>
  </si>
  <si>
    <t>Inadequate Information for Determination</t>
  </si>
  <si>
    <t>QE-075632</t>
  </si>
  <si>
    <t>Kensei Yamaguchi (C4221015-1399)</t>
  </si>
  <si>
    <t>What happened: Written re-consent could not be obtained in a timely manner after the ICD was approved.When the ICD was revised to update safety information, verbal explanations were provided by the investigator, verbal consent was obtained from the subjects and no new or amendments to clinical trial procedures were included in the ICD amendment (therefore, no new clinical trial procedures were taken prior to obtaining IC).*This is the first occurrence at this site What should have happened: Timely written re-consent was required to be obtained after ICD approval.Background:4Oct2023: IRB approved the revised ICD(main) v8.0_16Sep2023 (CRA sent the printed ICD to the site on 27Sep2023 and asked the site to re-consent subjects after IRB approval).4Oct2023: the CRC received an email from the clinical trial secretariat that the ICD had been approved and was aware that the ICD had been approved.6Oct2023: Subject 13991002 came to the site for G-CSF administration and CT, but written re-consent with ICD v8.0 was not be obtained from the subject. 12Oct2023: Subject 13991007 came in for the C1D15 visit but written re-consent with ICD v8.0 was not be obtained from the subject. 12Oct2023: Subject 13991008 came to the site for AE follow-up, but written re-consent with ICD v8.0 was not be obtained from the subject. 13Oct2023: Subject 13991008 came to the site for the C1D15 visit, but written re-consent with ICD v8.0 was not be obtained from the subject. 16Oct2023: the CRC noticed that written re-consent for subjects for ICD v8 was not taken for subjects.Reason why the CRC noticed the issue: The CRC was preparing the latest ICD for the potential candidate patient scheduled to visit on 17Oct2023, and discovered that re-consent had not been obtained from active subjects with the latest ICD.　16Oct2023: Subject 13991002 was re-consented with ICD v8.0. Written re-consent for subjects 13991007 and 13991008 will be obtained at the next visit.*Written consent could not be obtained, but verbal re-consent for ICD v8.0 has been obtained as follows:Subject 13991002: 12Sep2023 (verbal consent for ICD v8.0)Subject 13991007: 15Sep2023 (verbal consent for ICD v8.0)Subject 13991008: 20Sep2023 (verbal consent for ICD v8.0)Also, correct procedures were taken for a new subject as follows:Subject 13991009 (new subject): written initial consent was obtained on 17Oct2023 for ICD v8.0 Additional information: details of the ICD amendment -Bevacizumab (IP) Side Effects Update-Change in frequency of side effect occurrence (“unknown” to “rarely occurring”)-Addition of side effect (severe allergic reaction) *Subjects 13991002 and 13991008 are enrolled to arm C, and are taking bevacizumab. However, the investigator confirmed that both subjects have been notified of the changes during verbal consent for ICD v8 and there are not safety concerns due to the issue that written re-consent could not be obtained at the visit right after IRB approval. *continued from "Initial Cause" section due to word limit*However, the following issues occurred when ICD v8 was made Subject 13991002: The CRC forgot to enter the scheduled re-consent date in the subject’s schedule. (The verbal re-consent planned date was entered) Subjects 13991007 and 13991008: The date of the first dose was not decided yet so the CRC did not enter the planned dates in the schedule when the ICD was revised. (Verbal consent to ICD v8 was obtained during the initial consents for these 2 subjects, which is the correct process, since ICD v8 was not approved by the IRB during initial consent of these two subjects).</t>
  </si>
  <si>
    <t>GCP_Minor_Oct-2023_C4221015: Informed Consent Process_Yamaguchi, Kensei_JPN</t>
  </si>
  <si>
    <t xml:space="preserve">Corrective action: -The PI's opinion was confirmed as follows.PI's opinion: Since verbal consent was obtained, the minimum required information was provided to the subjects. The PI confirmed that the subjects understood the revised content at the time of verbal consent and their willingness to continue in the clinical trial was confirmed, and that the delay in obtaining written consent did not change the patient's willingness to participate in the trial. However, the PI agreed that communication to subjects via written consent must urgently made at the next subject visit, so written re-consent will be obtained during the next visit the subjects make to the site. Subject 13991002: written re-consent was obtained on 16Oct2023 for ICD v8.0Subjects 13991007, 13991008 will be re-consented in writing at the next visit.　-The deviation will be recorded per site procedure. Preventive action: -The printed ICD will be filed in the subject files after the CRC receives the documents - The CRC's “check memo” (source document) which records the vital signs and the next scheduled examination items is always confirmed by the investigator in charge, so an item will be added which can be used to confirm the necessity or re-consent. This way, both the CRC and investigator will be aware that re-consent is necessary at the visit. -The study coordinator will input the subjects’ schedules (linked to the electronic medical record) in a timely manner as soon as the ICD is made, so that investigators can be aware of the re-consent plan. -A site process where all investigators can be notified of the ICD approval is under consideration at the site. </t>
  </si>
  <si>
    <t>QE-077779</t>
  </si>
  <si>
    <t>Approved - In Effectiveness Check</t>
  </si>
  <si>
    <t>Study C4221015, BRAF central lab testing at Cellcarta, monitored by QIAGENCellcarta Belgium lab improperly stored test kits: temperature exceeded due to freezer failure, but no alarm was generated due to a human error.Cellcarta Belgium lab used invalid test kits (stored in the failed freezer) for patient sample testing. During the weekend, on 21 and 22OCT2023, Cellcarta Belgium lab freezer HGX3110 in which 11 Therascreen BRAF RGQ testing kits were stored, broke down causing the testing kits to thaw. No alarm was generated due to human error after cleaning freezers for which the alarm was turned off, and it was forgotten to turn the alarm on again after cleaning. Content of the freezer was moved on Monday 23OCT2023 at 8:00am when the warmed up freezer was discovered by the labtechs. On 24OCT2023 Cellcarta BE team submitted a protocol deviation form to QIAGEN.On 27OCT2023 QIAGEN notified that the kits cannot be used for patient testing.On 27OCT2023 Cellcarta BE reported that 9 patient samples have been tested using the invalid kits: 6 results have been reported to sites and 3 will be on hold.On 30OCT 2023 QIAGEN notified that Cellcarta should withdraw reported results, submit amended deviation with tested sample IDs added, and to report to IRB.On 30OCT 2023 Cellcarta informed Pfizer that all kits were affected, and patient testing at Cellcarta BE will be on hold until new kits are provided.QIAGEN is projecting 2 weeks for new kits will be delivered to Cellcarta BE lab.</t>
  </si>
  <si>
    <t>GCP_Major_Oct-2023_C4221015: Vendor Responsibilities: BRAF Sample Testing_CELLCARTA_Global</t>
  </si>
  <si>
    <t>&lt;p id="isPasted"&gt;Product Protocol Number(s): &amp;nbsp;C4221015&lt;/p&gt;&lt;p&gt;Involved Party / Country: CellCarta / Global&lt;/p&gt;&lt;p&gt;PI(s): N/A&lt;/p&gt;&lt;p&gt;Vendor(s): CellCarta&lt;/p&gt;&lt;p&gt;&amp;nbsp;&lt;/p&gt;&lt;p&gt;Protocol Title(s): The C4221015 study is a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 style="text-align: justify;"&gt;Description of the Issue(s): At 8:00 am Central European Time (CET) on Monday, 23-Oct-2023, CellCarta Belgium (BE) lab technicians discovered that lab freezer HGX3110, in which 11 Therascreen BRAF Rotor-Gene Q (RGQ) testing kits (manufactured by QIAGEN) were stored, experienced a failure, and defrosted on Sunday, 22-Oct-2023. At the time of discovery on 23-Oct-2023, the freezer had been out of the specification range (-25°C to -19°C) for 14 hours and the temperature display showed a temperature of 5°C. It was noted that no alarms had been generated at any point during the 14-hour period that the freezer was out of specification range.&amp;nbsp;&lt;/p&gt;&lt;p style="text-align: justify;"&gt;Further investigation found that the alarm for freezer HGX3110 was intentionally deactivated on 29-Sep-2022 for a scheduled cleaning and was inadvertently not reactivated upon completion of the cleaning. Alarm deactivation/reactivation is a manual process in the Labguard Evisense software that can only be performed by the Temperature Monitoring Manager. To deactivate an alarm, the lab technician would verbally inform the Temperature Monitoring Manager of the cleaning and request alarm deactivation. This deactivation request was not required to be documented on any form or in the laboratory management system (StarLims), which meant reactivation of the alarm was solely dependent on the lab technician remembering to tell the Temperature Monitoring Manager that the cleaning was complete. This process of deactivating/reactivating alarms was not a formal process, as there was no mention of it in the lab procedure governing maintenance of storage units (MANT-GLAB-006: “Maintenance of Refrigerator and Freezer”), however it was commonly practiced to prevent unnecessary alarm notifications and telephone cascades to the temperature monitoring team in the event the freezer went out of specification during the cleaning.&lt;/p&gt;&lt;p style="text-align: justify;"&gt;Since discovery of this event on 23-Oct-2023, CellCarta BE lab is no longer requesting deactivation of alarms for cleanings and is performing the cleaning process as outlined in MANT-GLAB-006, “Maintenance of Refrigerator and Freezer”.&amp;nbsp;&lt;/p&gt;&lt;p style="text-align: justify;"&gt;Upon discovery of the freezer failure on 23-Oct-2023, the lab technicians promptly moved the freezer contents, which included the 11 BRAF RGQ testing kits, to a backup freezer and reported the event to the Head Lab Technician. CellCarta BE Genomics Department performed a risk assessment on the BRAF RGQ kits, using the reagent stability specifications listed in the QIAGEN BRAF RGQ Instructions for Use (IFU) as reference, and determined that the kits were acceptable for use. CellCarta BE lab used the kits between 23-Oct-2023 and 27-Oct-2023 to test samples for eight participants: (10551004 (Norway), 12021007 (New Zealand), 13161013 (The Netherlands), 13481007 (Italy), 13961005 (Japan), 13481006 (Italy), 10331040 (Spain), and 11561008 (Taiwan)).&lt;/p&gt;&lt;p style="text-align: justify;"&gt;On 24-Oct-2023, CellCarta BE team submitted a protocol deviation form to QIAGEN and included the risk assessment for QIAGEN’s review. On 27-Oct-2023, QIAGEN informed CellCarta BE that their interpretation of the IFU regarding acceptable storage conditions for the BRAF RGQ kits was incorrect and that the kits could not be used for participant testing as the reagent stability specifications in the IFU were to be applied only to the reagent mixes and not the kit components. CellCarta BE responded to QIAGEN the same day and informed QIAGEN that the kits had already been used. QIAGEN instructed CellCarta BE to submit an amended protocol deviation with the tested sample identification information added and to withdraw any testing results that had already been reported.&amp;nbsp;&lt;/p&gt;&lt;p&gt;&lt;span style="font-size: 15px; font-family: Calibri, sans-serif;"&gt;On 27-Oct-2023, following the response from QIAGEN, CellCarta BE placed all participant testing and result reporting for all countries in the study on-hold, except for China, USA, Argentina, Brazil, and Canada. All testing and result reporting remained on hold until replacement kits were received on 15-Nov-2023. CellCarta BE resumed testing under Pfizer’s guidance to retest the impacted samples prior to moving forward with testing any new samples.&lt;/span&gt;&lt;/p&gt;</t>
  </si>
  <si>
    <t>Inadequate or incorrect test performance/analysis</t>
  </si>
  <si>
    <t>Requested incident report to Cellcarta Reported the incident to Study team</t>
  </si>
  <si>
    <t>Alarm deactivation/reactivation was an informal process that was fully manual and relied on verbal communication and memory alone to ensure alarms were reactivated upon completion of cleaning., Decision error by CellCarta BE Genomics Department to apply the 12-hour reagent stability window listed in the IFU to all the kit components rather than just the master reagent mixes as specified., Due to an oversight by QIAGEN during preparation of the CPSP training material for SIVs to include the statement from the CPSP that prior approval from QIAGEN was required for changes to or deviations from the protocol, CellCarta was not appropriately trained on the proper deviation procedure.&amp;nbsp;, Lack of oversight &amp;nbsp; by the qualification team to add manual checks for alarm status to the site procedure during initial qualification of the temperature monitoring system., The current temperature monitoring system has limitations that do not allow for automatic checks of alarm status.</t>
  </si>
  <si>
    <t>Equipment/System/Facility, Human Performance, Method/Procedure, Personnel</t>
  </si>
  <si>
    <t>Decision Error, Lack of or Inadequate Qualifications, Learning Error, Procedure/Form/Plan, System/Application</t>
  </si>
  <si>
    <t>Inadequate/Inaccurate/Confusing (Document Standard Lacking/Incorrect Standard Content), Information Used was not Representative/Adequate, Relevant, Accurate or Current, Lack of or Inadequate Design/Functionality, Lack of or Inadequate Qualifications, Lack of or Inadequate Training Provided or Not Trained on Latest Version</t>
  </si>
  <si>
    <t>QE-078526</t>
  </si>
  <si>
    <t>012, 1003, 1004, 1014, 1047, 112, 1168, 1175</t>
  </si>
  <si>
    <t>Angela Weyand (B0661037-1168), John Krauss (C4221015-1047), Mark Russell (C4591036-1003), Matthew Pianko (C1071009-1004), Matthew Pianko (C4971001-012), Michael Goldfarb (B7981040-1175), Rajen Mody (A5481092-1014), Rashmi Chugh (C4961003-112)</t>
  </si>
  <si>
    <t>Syneos Health received the below message from Syneos Information Risk &amp;amp; Security Department.  Syneos Health Information Security has become aware of a statement published by the University of Michigan earlier this week. The statement discloses that, in addition to student, alumni and faculty personal information, data of research study participants was also involved in the breach.   .com/v3/__https:/publicaffairs.vpcomm.umich.edu/key-issues/august-2023-data-incident/__;!!H9nueQsQ!9Ix3HfzdrmuzYvWe7z7JHKUe8op8OwoXYgUsY8P-WY29QzzcBA6umGyqokQ2NS06FJOhBjSi6T_q_bp5Fp7kr7p7BD-5WBEy$" target="_blank"University of Michigan Public Affairs: August 2023 Data Incident  At this time, we are not aware of any impact to Syneos-supported studies conducted at this site. However, Syneos Health Information Security has contacted the university to ask for confirmation of whether any studies we support were impacted by this data breach.</t>
  </si>
  <si>
    <t>GCP_Major_Nov-2023_Multiple: Cyber Security Incident_Multiple_USA</t>
  </si>
  <si>
    <t>&lt;p id="isPasted" style="margin-left: 0in;"&gt;&lt;span style="font-size: 15px; font-family: Calibri, sans-serif;"&gt;Product Protocol Number(s):&amp;nbsp;&lt;/span&gt;&lt;/p&gt;&lt;p style="margin-left: 0in;"&gt;&lt;span style="font-size: 15px; font-family: Calibri, sans-serif;"&gt;Multiple&lt;/span&gt;&lt;/p&gt;&lt;p style="margin-left: 0in;"&gt;&lt;span style="font-size: 15px; font-family: Calibri, sans-serif;"&gt;&amp;nbsp;&lt;/span&gt;&lt;/p&gt;&lt;p style="margin-left: 0in;"&gt;&lt;span style="font-size: 15px; font-family: Calibri, sans-serif;"&gt;Involved Party / Country:&lt;/span&gt;&lt;/p&gt;&lt;p style="margin-left: 0in;"&gt;&lt;span style="font-size: 15px; font-family: Calibri, sans-serif;"&gt;PI(s): Multiple / USA&lt;/span&gt;&lt;/p&gt;&lt;p style="margin-left: 0in;"&gt;&lt;span style="font-size: 15px; font-family: Calibri, sans-serif;"&gt;&amp;nbsp;&lt;/span&gt;&lt;/p&gt;&lt;p style="margin-left: 0in;"&gt;&lt;span style="font-size: 15px; font-family: Calibri, sans-serif;"&gt;Description of the Issue(s):&lt;/span&gt;&lt;/p&gt;&lt;p&gt;&lt;span style="font-size: 15px; font-family: Calibri, sans-serif; color: rgb(48, 48, 48); background-color: rgb(255, 255, 255);"&gt;On 23-Aug-2023, University of Michigan &lt;span id="isPasted" style="font-size: 15px; font-family: Calibri, sans-serif;"&gt;information technology (IT)&amp;nbsp;&lt;/span&gt;staff discovered a cyberattack that had occurred on the University’s IT systems and posted a statement to their website detailing the cyberattack. On 01-Sep-2023, Syneos Health received a message from their Information Risk &amp;amp; Security Department who had become aware of the statement. QE-065286 was raised but downgraded to minor after investigation as the incident was found to have had no impact to Pfizer studies or participants. On 27-Oct-2023, the University posted updated information confirming participant data was vulnerable to access between 23-27-Aug-2023. On 15-Dec-2023, the University notified Pfizer that there was no observed evidence of unauthorized activity since 27-Aug-2023 and no evidence to suggest there is any risk to partner networks as a result of the incident. The University’s investigation uncovered no evidence that Pfizer data was impacted.&lt;/span&gt;&lt;/p&gt;</t>
  </si>
  <si>
    <t>Quality Event only required gap analysis investigation</t>
  </si>
  <si>
    <t>CP411</t>
  </si>
  <si>
    <t>Sie Yan Chin</t>
  </si>
  <si>
    <t>At the latest announcement on the 27Oct2023, Syneos Health Information Security shared the information to respective project teams so QE could be raised and Syneos Health Information Security is currently trying to contact the university for confirmation of which studies were impacted.</t>
  </si>
  <si>
    <t>Gap analysis</t>
  </si>
  <si>
    <t>N/A</t>
  </si>
  <si>
    <t>01, 103, 1048</t>
  </si>
  <si>
    <t>Anne Schott (C4891020-103), Ghada Abusin (C5361001-01-104), Ghada Abusin (C5361002-01-104), Ghada Abusin (C5361003-01-104), Kevin Gregg (C4671034-1048)</t>
  </si>
  <si>
    <t>QE-079259</t>
  </si>
  <si>
    <t>Marieke Vollebergh (C4221015-1316)</t>
  </si>
  <si>
    <t>On 06Nov2023 during a Site Oversight Visit/ Site Monitoring Visit at site 1316, PI dr. Vollebergh, the CRA and SCP noted that the latest version over the C4221015 site Informed Consent Document (ICD) version 7.7.7; which has been approved by the Ethics and implemented at the site on 19Sep2023, has not been signed by the active subjects 1316-1007, 1316-1010, 1316-1011 and 1316-1012, although multiple site subject visits took place. The ICD update contains safety updates. Also new subject 1316-1013 did not sign the latest EC approved ICD, who was screened on16Oct2023 and Randomised on 31Oct2023.</t>
  </si>
  <si>
    <t>GCP_Minor_Nov-2023_C4221015: Informed Consent Process_Vollebergh, Marieke_NLD</t>
  </si>
  <si>
    <t xml:space="preserve">During the Oversight visit/ Site monitoring once noticed, it has been discussed with the Principal Investigator, who will follow up and make sure the active subjects are informed and sign the updated ICD. </t>
  </si>
  <si>
    <t>QE-079264</t>
  </si>
  <si>
    <t>On 06Nov2023 during a Site Oversight Visit at site 1316, Principal Investigator (PI) dr. Vollebergh, the CRA and SCP noted that the latest randomized subject 1316-1013 screening was done by the PI and new assigned Sub Investigator. The new Sub Investigator was delegated via the Signature Sheet and Delegations of Duties Log (SSDDL) by the PI, however the CRA/ CRO was not informed. Therefore no essential documents (e.g. CV/ FD/GCP) were collected yet. The Informed Consent document for subject 1316-1013 was signed by the new Sub Investigator.  The Sub Investigator was not added to the Firecrest Training portal yet. According to the PI, study required training (e.g. Protocol, safety training) was provided by the PI top the Sub Investigator and documented on a sites own training log, however this document was not available during Site Oversight visit.</t>
  </si>
  <si>
    <t>GCP_Minor_Nov-2023_C4221015: PI Oversight and Study Training_Vollebergh, Marieke_NLD</t>
  </si>
  <si>
    <t xml:space="preserve">During the Site Oversight Visit/ Site Monitoring Visit the Principal Investigator was informed about the issue. The CRA requested the Site Data Manager to send the Sub Investigator his CV and would follow up on Essential Document collection and Training requirements. </t>
  </si>
  <si>
    <t>Lack of or Inadequate Oversight</t>
  </si>
  <si>
    <t>QE-080446</t>
  </si>
  <si>
    <t>Dustin Deming (C4221015-1007)</t>
  </si>
  <si>
    <t>Per SIV report, Site 1007/Dr. Deming was to use Pfizer Signature Sheet and Delegations of Duties log, however, it was not collected during SIV. Ultimately, the site used their own delegation of duties log and documentation of review to confirm if site log met equivalence to Pfizer’s log and site authorization to use log (required per INV02-INV04-GSOP-RF09) was not located. Site staff with roles of Study Nurse and Research Program Manager are delegated to determine clinical significance of laboratory test results. The issue was raised by SEP for CRA follow up to confirm if staff members have the necessary qualification to be delegated this task. CRA discussed with PI confirmed the individuals are able to determine clinical significance and are overseen by either PI or Sub-I, however, these staff members are registered nurses. Laboratory results are also not signed in a timely manner, for example:- Screening: Drawn: 05 Dec 2022, Signed: 08 May 2023, 154 days.- C1D1: Drawn: 16 Dec 2022, Signed: 08 May 2023, 143 days. - C2D1: Drawn 13 Jan 2023, Signed: 06 Feb 2023, 24 days.- C3D1: Drawn: 20 Feb 2023, Signed: 06 Mar 2023, 14 days. - Follow up: Drawn: 20 Mar 2023, Signed: 10 Apr 2023, 21 days. CTM contacted site via email advising the following:1. The nurses should no longer be delegated the task of determining clinical significance.2. Only the PI and Sub-Investigators should be delegated the task of determining clinical significance. 3. CVs for all delegated sites staff should be on file in the ISF or documentation provided as to where the CRA/SEP can locate the CVs. 4. Secondary review of previous labs should be conducted to determine if these individuals independently reviewed or made any determinations on clinical significance. 5. PI/Sub-Investigators should sign off on lab reports in a timely manner, with documented review.Site staff member replied indicating that after discussion with stakeholders, they would not be updating the delegation log and the site has a process in which has been described as the following (request for process/policy made):- Clinical significance of adverse events is captured in our Adverse Events log. The log is submitted to the study investigator who reviews and is able to edit any part of the adverse event log as they deem appropriate. For our enrolled subject, the sub-investigator reviewed, edited, and signed the Adverse Event log after it had been prepped and submitted for their review.- We put all adverse events on our AE log, not only those that are clinically significant. This log is then used to complete EDC per sponsor requirements. This process is used for all studies we participate in.- All adverse events - lab/non-lab; clinically significant or not go on the adverse event log. If the nurse makes the determination of clinically significant using the examples in our policy, the treating investigator is still reviewing/determining the clinical significance of the event.</t>
  </si>
  <si>
    <t>GCP_Minor_Nov-2023_C4221015: PI Oversight; Delegation of Duties_Deming, Dustin_USA</t>
  </si>
  <si>
    <t>Inadequate Principal Investigator quality oversight, Personnel inadequately trained to perform their assigned job function</t>
  </si>
  <si>
    <t xml:space="preserve">SEP, CRA, CTM, and Study Manager have communicated with site staff regarding the above issues, however, via email, stakeholders have determined they will not update the delegation log and will not follow guidance provided by CTM for this issue.  Site policy/SOPs were requested and, upon review, the process described by the site contact does not appear to be consistent with the SOPs. Policies attached. </t>
  </si>
  <si>
    <t>QE-081146</t>
  </si>
  <si>
    <t>Andrew Strickland (C4221015-1138)</t>
  </si>
  <si>
    <t>C4221015 study site 1138 pharmacy staff sent monitor an email in which the attachment (site's drug preparation worksheet) contained subject 11381001's personal information, subject's full name, DOB, address and contact number. These personal information should be redacted before sending to monitor.</t>
  </si>
  <si>
    <t>GCP_Minor_Nov-2023_C4221015: Participant Confidentiality_Strickland, Andrew_AUS</t>
  </si>
  <si>
    <t>Monitor has permanently deleted the email, and notified the site staff immediately. Site staff is also re-trained not to send anything that contains subject's personal information.</t>
  </si>
  <si>
    <t>QE-081163</t>
  </si>
  <si>
    <t>Taito Esaki (C4221015-1404)</t>
  </si>
  <si>
    <t>Issue: Site activation was conducted at Kyushu Cancer Center (Site number: 1404) but the PI had not obtained his Inform (EDC) account yet. What should have happened: The PI should have obtained his EDC account before site activation.  Background:-19Oct2023: The CRA requested the PI via email to take the EDC training.Nov2021:-The CRA received verbal confirmation from the CRC that the PI had completed the EDC training and has access rights to EDC, so in the CRA’s acknowledgement, the PI had obtained his EDC access.-The CRA checked the “site activation tracker” task for the PI’s EDC training and access as “complete” since the CRA thought the PI had completed the necessary tasks. The Clinical Team Manager (CTM) confirmed the “site activation tracker” that the CRA completed, and saw that the PI’s training was complete and access was obtained, but the CTM did not confirm the system directly to see whether the PI had really completed the necessary tasks.-18Nov2021: The site activation letter was sent from the CRA to PI. Site activation was complete even though the PI had not obtained his EDC account. -August2022: There was a CRA handover for site 1404. Since the PI’s EDC account was a site activation requirement, the CRA who was handed over the site thought that the PI had obtained his EDC account. 28Jun2023: The first subject for the site was enrolled. Site 1404 had 2 subject consents, and out of these, 1 was a screen fail, 1 received IP treatment. 7Nov2023: The CRA who tried to check whether the PI’s EDC was active for the database lock, discovered that the PI had no EDC account. It was confirmed that the EDC training was also incomplete. 10Nov2023: After discussion with the study team, it was decided that this will be reported as a QE.</t>
  </si>
  <si>
    <t>GCP_Minor_Nov-2023_C4221015: Site Activation: EDC System Access_PPD; Esaki, Taito_JPN</t>
  </si>
  <si>
    <t>Preventive action:&amp;lt;CRO-PPDSNBL preventive actions&amp;gt;(1) Ensure that CRAs check the status of training attendance/account acquisition from the system/tracker for completion status, and not on a verbal basis.2) Instructions will be created so that CRAs will check the status of training/system access rights for systems used for Pfizer studies  (The CRO-PPDSNBL “Onboarding SME” team will create the instructions by 30Nov2023 and share with the Pfizer team within the CRO).　→Instructions will clearly state that confirmation should be made from the system, not verbally.(3) Reinforcement of double-checking system→Double-check of required tasks during site activation will made by the CTM based on the instructions made for the above action (2).   &amp;lt;Site’s preventive actions&amp;gt;Regarding confirmation of the PI's account at the time of site activation:-PIs will download/print out (+file in PI file) the training certificates to confirm that the trainings have been complete-PIs will log in to the systems in a timely manner when they obtain access to the system to ensure they have proper access. For other site staff accounts at all times during the study:-Site staff will download/print out (+file to PI file) the training certificate to confirm completion of site staff training -Site staff will log in for the first time when they obtain access to the system in a timely manner to ensure they have proper access-PIs will check the site staff's system access status from the CRA and start the delegation for the site staff.  Corrective action: Although the PI had no EDC account access, the CRA confirmed on 9Nov2023 that there was sufficient PI oversight of the subjects and data.  -Oversight method by the PI on subject safety/study status: The CRA confirmed that the PI’s oversight on subject safety has been conducted by confirmation of the medical records and periodic in-hospital conferences. By conducting these tasks, the PI was regularly confirming the subjects’ safety and study status so even though the PI had no EDC access, the oversight by the PI was sufficient. -There was no affect on subjects’ safety due to the PI not having EDC access.  PI's oversight method on data:-The CRA has been confirming the EDC data during regular monitoring visits, and has been confirming that there are no major discrepancies between the data in EDC and source documents (electronic medical records). When the CRA confirmed minor discrepancies between the EDC and the source documents during the monitoring visits, the discrepancies were reported to the PI in the follow-up letter, so the PI was aware of the follow-up issues. -Subject 14041001 and 14041002 were SDR required subjects, and 14041002 was a SDV required subject, so the CRA was able to confirm the EDC and electronic medical data during the monitoring visits. Subject 14041001 was a screen fail subject and did not require SDV, but critical data such as the informed consent process, safety, eligibility has been confirmed by the CRA with no major issues.-Since enrollment at this site, 2 emails have been sent from PPD global to all Japan site investigators with a list of EDC queries and missing pages so the PI was aware of the data status at his site. -The annual EDC electronic signature is planned to be conducted in December 2023.  -The PI agreed to take the EDC training and proceed to obtain EDC access. On 14Nov2023, the PI contacted the CRA to inform that the training was completed, and the CRA confirmed via the system that the training has been completed. On 14Nov2023, the CRA asked for the study coordinator to request the PI’s EDC access request through SIP (= system to request access to the EDC).  -The PI’s EDC access status was double checked for all sites in Japan for the C4221015 study, and all other PIs had access to the system. Also, regarding the other sites that the same CRA for site 1404 had activated, it was confirmed that there were no problems with the site activation requirements.</t>
  </si>
  <si>
    <t>Method/Procedure</t>
  </si>
  <si>
    <t>Procedure/Form/Plan</t>
  </si>
  <si>
    <t>QE-081245</t>
  </si>
  <si>
    <t>PFIZER, RWS LIFE SCIENCES INC</t>
  </si>
  <si>
    <t>C4221015: Argentina and Mexico require a translated version of the protocol to be submitted to RA's.  Spain requires a translated version of the protocol synopsis. In preparing an inspection response to ANMAT for an inspection of a site in Argentina, a translation error was identified in the Spanish versions of these documents. The English word "should" was translated into "must."  Pfizer uses a translation vendor (RWS) for the translation of protocols for HA's.</t>
  </si>
  <si>
    <t>GCP_Minor_Nov-2023_C4221015: Protocol Translation_RWS Life Sciences_ARG; MEX; ESP</t>
  </si>
  <si>
    <t>Quality Oversight/Documentation</t>
  </si>
  <si>
    <t>Inadequate quality documentation</t>
  </si>
  <si>
    <t>CT02-Protocol Development for Interventional Studies</t>
  </si>
  <si>
    <t xml:space="preserve">Contacting translation vendor to correct mistake and issue corrections as soon as possible.  Coordination with CTRO to have a resubmission of the corrected protocols.  </t>
  </si>
  <si>
    <t>QE-084077</t>
  </si>
  <si>
    <t>Jeroen Dekervel (C4221015-1121)</t>
  </si>
  <si>
    <t>Upon to recent IMV at site 1121 in Belgium we identified an issue that 2 subjects 11211006 and 11211007 did sign the un-approved versions of ICD  V6.6, dd 01-Feb-2023 for Belgium  in English: 11211006 (ICF signed 2Aug23) and 11211007 ICF signed 25Oct23English versions of ICD was distributed to  the sites due to omission done during last submission to RA/EC where English version of ICD was not present, as per local routine its expected to be done in 4 languages: Dutch, French, Deutsch and English and as were included in all previous approvals.</t>
  </si>
  <si>
    <t>GCP_Minor_Nov-2023_C4221015: Informed Consent Process_Dekervel, Jeroen_BEL</t>
  </si>
  <si>
    <t>Viktor Zaviriukha</t>
  </si>
  <si>
    <t>New local RA/EC approval letter received 23 Nov 2023 which contains again English ICD V.7 and which would be provided to the both subjects on 27Th Nov and 4th Dec 2023 accordingly. -NTF created with the PI documenting situation, confirming the patient has been consented on the appropriate information-notify and documented that all sites should to remove from file all English ICD unapproved versions(and marked them as “not for use”) before the next batch will be delivered to the sites.</t>
  </si>
  <si>
    <t>QE-089179</t>
  </si>
  <si>
    <t>PPD EU biorepository experienced a total power loss due to a water leak into the electrical distribution board powering the freezer farm. Both the electrical board and power feed were damaged and rendered  out of use. At this time PPD assumes there was no impact to sample integrity as all  freezers appear to have maintained temperature. They will be able to access the temptales in the upcoming days to provide verification. The outage will have an impact on outbound shipments as freezers were not accessible during the outage and subsequent stabilization period. It's expected that the impact on outbound shipments will continue through the end of next week with some shipments being delayed.</t>
  </si>
  <si>
    <t>GCP_Minor_Dec-2023_Multiple Protocols: Sample Management_PPD_Global</t>
  </si>
  <si>
    <t xml:space="preserve">3 freezers were moved to a nearby location to reduce the load on the house/generator power. Temptales were placed in the freezers to monitor conditions during transport and temps were monitored and recorded by PPD staff while on site at their facility. The same freezers were then returned to PPD Belgium by the end of the day on Dec 20th. </t>
  </si>
  <si>
    <t>Equipment</t>
  </si>
  <si>
    <t>QE-093823</t>
  </si>
  <si>
    <t>1394, 1401, 1411</t>
  </si>
  <si>
    <t>Shinji Takeuchi (C4221015-1394), Tetsuya Hamaguchi (C4221015-1411), Yosuke Kumekawa (C4221015-1401)</t>
  </si>
  <si>
    <t>Unnecessary blood collection (cfDNA) was conducted for 4 subjects.Non Adherence DescriptionUnnecessary blood collection (cfDNA) was conducted. &amp;lt;Description&amp;gt;Unnecessary blood collection (cfDNA) was conducted for 4 subjects. There was only 1 occurrence for each of the subjects below, and this issue did not occur at other sites/subjects.Blood collection dates for affected subjects: 24-Oct-2023（Subject＃13941002：C9D1）21-Dec-2021（Subject＃14111001：C2D1）04-Aug-2022(Subject＃14011001：C2D1)25‐Aug-2022(Subject＃14011002：C2D1) In the Phase 3 part of this study, cfDNA samples are collected at C2D1, C3D1, and C9D1 for patients receiving CAPOX in arm C, and at C1D15, C2D15, and C7D1 for patients in arms A, B, and C (treatment regimens other than the CAPOX regimen). Unnecessary blood collection for cfDNA was done at the C9D1 visit (24Oct2023) for subject 13941002 (Phase3/Arm A).CRAs confirmed if similar issues about unnecessary cfDNA blood collection and submission to the central lab were occured or not. As a result, there were 3 cases for above 3 subjects. All samples have been sent to the central lab after collection. ・For 17 sites other than the sites above, laboratory staff confirms the lab kit in advance with the site version “specimen collection procedure manual”, and the study coordinator(SC) confirms that adequate tubes are prepared per central lab collection flow chart (CFC) . Therefore, similar issues have not occurred at the other sites.*CFC=a flow chart issued by the central lab as supplemental information to the central lab manual; this flow chart lists necessary collection to be done at particular visits/dosing arms, and the procedures of the collections and sample packing.</t>
  </si>
  <si>
    <t>GCP_Minor_Jan-2024_C4221015: Biospecimen Sample Collection_Multiple Sites_JPN</t>
  </si>
  <si>
    <t>Chitose Izuhara</t>
  </si>
  <si>
    <t xml:space="preserve">Corrective Action:19Jan2024:・The CRA re-trained the PI and the SCs on how to confirm CFC and retrained them on the protocol requirements.（site#1394, 1411, 1401）・The CRA confirmed from the central lab database that as of 18Jan2024, there were no similar issues other than the 4 subjects reported in this report.・The investigator has confirmed that there was no change in the subject's will to continue participating in study (subject 14111001, 14011001, 14011002). Regarding subject 13941002, the PI will confirm the intention to continue the trial at the next visit. (planned visit date: 01Feb2024) ・The PI for each site (site 1394, 1411, 1401) determined that there was no impact on the subjects’ safety.・The PI and CRC did not consider the case to be a protocol deviation and had not been able to report it to the sponsor and IRB, so they will report it to the IRB (planned IRB date: 21Feb2024) in the next annual IRB.(site1401)・The CRA submitted the “sample destruction form” to the central lab and asked for the unnecessary samples to be destroyed and data to be removed from the database for the 4 samples.Preventive Action:・The CRA agreed that the 3 sites will take the following preventive actions to prevent similar issues from occurring.site 1394:・The main SC will confirm the contents of the central lab kits to be used on the day of the visit (i.e. by checking the site specific “sample processing procedure” manual and courier vendor collection form.), the day before the subjects’ visits. The sub-SC will not only check whether the central lab kit is within the expiration date and the condition of the dispensing tube, but will also double check whether the appropriate kit is prepared.・The PI and SC will share this issue with the site staff and provide retraining to the site staff and ask for the samples to be collected in accordance to the protocol and laboratory manual. ・Since there are no Phase3 patients currently receiving CAPOX in Arm C, and no patients who will be enrolled in the CAPOX in Arm C in the future, the SC will clearly note on the CFC that test items that need to be collected only for the subjects receiving CAPOX in Arm C are unnecessary.site1411:The SC will conduct the following actions:1. At the end of each subjects’ visits, the SC will check the CFC and confirm whether the collection is done per protocol requirement.  2.The SC will prepare the kit to be used on the next visit3. On the day of the subject’s visit, the SC (a different SC, or the same SC as procedure 2 above) will double check the kit that will be used for the visitsite1401:The SC will prepare the kit after confirming the color coding within the CFC, check if the kit is prepared per protocol requirement, and a different SC will double check this.General PA for all sites:・The CRA will continue to follow up to ensure that the prevention actions agreed by the 3 sites that caused this deviation are appropriate and will follow up so that similar events do not occur.・The CRA will share this event with all sites, and reemphasize/confirm the following points:-For some visits, not all collection tubes included in the kits will be used since different dosing arms require different tests- Collected samples are different on each visit so CFC confirmation is necessary in advance. ・The CFC requirements and method on how to confirm the CFC will be reshared with all sites by the CRA-If necessary, since there was a transition to Cohort 3 design of the study (change in dosing arms from the phase3 portion of the study), requests will be made to remove tubes that need to be collected only from the subjects receiving CAPOX in Arm C from the central lab kits delivered to the sites. </t>
  </si>
  <si>
    <t>QE-093886</t>
  </si>
  <si>
    <t>CALYX</t>
  </si>
  <si>
    <t>BICR Imaging Vendor did not initiate reader variability monitoring at the 20% threshold per the charter.</t>
  </si>
  <si>
    <t>GCP_Minor_Feb-2024_C4221015: Vendor Responsibilities: Reader Variability Monitoring_Calyx_Global</t>
  </si>
  <si>
    <t>Stacey Oppenheimer</t>
  </si>
  <si>
    <t>Followed up with the vendor to request the initiation of the read variability monitoring. Vendor initiated the variability monitoring immediately.</t>
  </si>
  <si>
    <t>QE-096649</t>
  </si>
  <si>
    <t>157 CRFs not signed by end of December 2023 as requested by Pfizer SOP (BRA-BUL-CAN-CZE-IND-NDL-POL-RUS-SVK-ZAF-UKR-GBR-USA). Full site list of sites with "Overdue signatures" is attached.</t>
  </si>
  <si>
    <t>GCP_Minor_Feb-2024_C4221015: Investigator Attestation_Multiple Sites_Global</t>
  </si>
  <si>
    <t xml:space="preserve">DMB09-Reporting Event Purpose Datasets and Results Presentations </t>
  </si>
  <si>
    <t>Site staff has been reminded several times by local team about the requirements and local Pfizer involved for support in some instances. At the moment 23 missing signatures for POL (due to huge backlog data entry caused by site staff refusing to perform study related activities). Payment backlog has been resolved, but still we have missing pages and unsigned CRF. CTM is pushing for CRA to go to the site to support in cleaning up the last missing pages and completing signature process. Local Pfizer involved.</t>
  </si>
  <si>
    <t>QE-096835</t>
  </si>
  <si>
    <t>1017, 1041, 1132, 1365</t>
  </si>
  <si>
    <t>Andreia Cristina de Melo (C4221016-1017), Jamille Dutra (C4221015-1365), Monica Padoan (C3441021-1041), Sima Ferman (A5481092-1132)</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</si>
  <si>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</si>
  <si>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</si>
  <si>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&lt;p&gt;&lt;b&gt;Product Protocol Number(s):&lt;/b&gt; A5481092, C3441021, C4221015, C4221016&lt;/p&gt;&lt;p&gt;&lt;br&gt;&lt;/p&gt;&lt;p&gt;&lt;b&gt;Involved Party / Country&lt;/b&gt;:&lt;/p&gt;&lt;p&gt;&lt;br&gt;&lt;/p&gt;&lt;p&gt;PI: Ferman, Sima (A5481092-1132)/ Brazil&lt;/p&gt;&lt;p&gt;PI: &amp;nbsp;Padoan, Monica (C3441021-1041) / Brazil&lt;/p&gt;&lt;p&gt;PI: Dutra, Jamille (C4221015-1365) / Brazil&lt;/p&gt;&lt;p&gt;PI: &amp;nbsp;de Melo, Andreia Cristina (C4221016-1017) / Brazil&lt;/p&gt;&lt;p&gt;&lt;br&gt;&lt;/p&gt;&lt;p&gt;&lt;b&gt;Protocol Title(s):&amp;nbsp;&lt;/b&gt;&lt;/p&gt;&lt;p&gt;&lt;br&gt;&lt;/p&gt;&lt;p&gt;A5481092: Phase 1/2 Study to Evaluate Palbociclib (Ibrance®) in Combination with Irinotecan and Temozolomide or in Combination with Topotecan and Cyclophosphamide in Pediatric Patients with Recurrent or Refractory Solid Tumors&lt;/p&gt;&lt;p&gt;C3441021 Talapro-2: A Phase 3, Randomized, Double-Blind, Placebo-Controlled Study of Talazoparib with Enzalutamide in Metastatic Castration-Resistant Prostate Cancer&lt;/p&gt;&lt;p&gt;C4221015: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Cancer&lt;/p&gt;&lt;p&gt;C4221016 Keynote-B80||Starboard: A Phase 3, Randomized, Double-Blind Study of Encorafenib and Binimetinib plus Pembrolizumab versus Placebo plus Pembrolizumab in Participants with Braf V600e/K Mutation-Positive Metastatic or Unresectable Locally Advanced Melanoma&lt;/p&gt;&lt;p&gt;&lt;br&gt;&lt;/p&gt;&lt;p&gt;&lt;b&gt;Description of the Issue(s):&amp;nbsp;&lt;/b&gt;&lt;/p&gt;&lt;p&gt;On 06-Feb-2024 Pfizer was informed by Clinical Research Organization, Syneos Health, of a cyber incident that had occurred on 28-Jan-2024 in the Instituto Nacional de Câncer José de Alencar Gomes da Silva (INCA) in Brazil. The incident was classified by the institution as ransomware by “RA Ransomware” or “RA Group”.&amp;nbsp;&lt;/p&gt;&lt;p&gt;There were 4 ongoing sites in 4 ongoing studies at the institution: site 1132 in A5481092, site 1041 in C3441021, site 1365 C4221015 and site 1017 C4221016 study. No leakage of clinical research data has been identified and there was no impact on study participant safety.&lt;/p&gt;&lt;p&gt;&lt;br&gt;&lt;/p&gt;</t>
  </si>
  <si>
    <t>Informed study managers, site care partners and CRAs.  IGOT staff is aware and they may restrict site staff's access to Impala randomization system.</t>
  </si>
  <si>
    <t>Following the information received from Instituto Nacional de Câncer José de Alencar Gomes da Silva (INCA) about the incident, a gap analysis was completed by the Quality Event Team to document the actions to be taken to bridge (any) gaps and resume clinical trial activities, consequent to a reported third-party compromise.&amp;nbsp; In response to their cyber security incident on 28-Jan-2024, the study site’s (INCA) Crisis Committee and IT team monitored the cyber-attack activities and impacts. In addition, the Federal Government's Incident Treatment and Response Center (CTIR-Gov) and the Federal Police were requested to investigate the incident.&amp;nbsp; On 06-Feb-2024 Pfizer became aware of the incident.&amp;nbsp; On 08-Feb-2024 Pfizer system use was restricted while the investigation was ongoing. IRT and safety reporting workarounds were in place. Recruitment and EDC data entry was on hold during the investigation until 27-Mar-2024. On 27-Feb-2024 the institute has stated in their letter to sponsors that the impacts on the research center were operational as there was a temporary suspension of internal and external network use; the incident was completely contained; and the internal systems and workstations have been re-established. No leakage of clinical research data had been identified. The investigation had been handed over to Federal Police and the final information of the incident and their investigation report were pending at the time of closing the QE investigation. &amp;nbsp; On 27-Mar-2024 GIS completed their review on information provided by INCA site IT lead. Pfizer allowed data entry activities and continuation of the studies. GIS will be kept informed by the business of further updates/developments from INCA or the Federal Government Incident Treatment and Response Center; a copy of the full incident report is provided once available; and there have been no indications of impact to study data integrity that would warrant further Quality concerns/pausing of study activities. &amp;nbsp; Per 28-Mar-2024 meeting and information received, no other actions needed to resume study activities. The current QE is closed. If additional information emerges, a new QE should be submitted.</t>
  </si>
  <si>
    <t>Not in List</t>
  </si>
  <si>
    <t>QE-100218</t>
  </si>
  <si>
    <t>Yosuke Kumekawa (C4221015-1401)</t>
  </si>
  <si>
    <t>Irinotecan was injected at a dose different from the dose previously determined by the site ruleSubject 14011003 was randomized to Arm E (Irinotecan+Leucovorin+5-FU, ＋Bevacizumab) in Cohort3. The subject received Irinotecan injection by the dose of 180 mg/m2 different from the dose of 150 mg/m2 that was previously determined as the site rule, when the subject visited the site for the Cycle1Day1 visit on 24Jan2024. On 07Feb2024, the subject also received Irinotecan injection by same dosage for Cycle1Day15 on 07Feb2024.The dose of irinotecan specified in the protocol is 180 mg/m2, but the actual dose can be determined according to the standard administration method of each medical institution in the protocol, so it is based on the wishes of the PI. In the site, irinotecan was administered at 150 mg/m2, the same as the standard treatment in line with approval requirements in Japan. Although the dose of irinotecan (180mg/m2) administered to the subjects was incorrect, it was within the prescribed range of the protocol.【Site rule】The dose of the investigational product(IP) was being calculated using the following procedure before the start of administration of the IP.Based on the protocol and the site specific regimen, the CRC manually calculates the required dose according to the subject's weight and body surface area. The PI/SI then makes a final confirmation of the dosage, records the dosage, and orders the administration of the investigational drug on the electronic medical record. Site pharmacists dispense and prepare investigational products at the prescribed dosage ordered in the electronic medical record.【Background】-23Aug2023: The CRA confirmed that the PI decided to administer irinotecan at a dose of 150 mg/m2, the same as in usual practice-24Aug2023: The ICD ver6.0 was created by the PI which included the dose of 150mg/m2.-15Dec2023: The CRA reminded the pharmacist and CRC that the dose of Irinotecan will be administered at 150 mg/m2 in cohort 3 in the site.-23Dec2023: Cohort3 portion’s enrollment was opened.-17Jan2024: The site obtained an IC from the subject 14011003.-24Jan2024: The subject received IP treatment with the dose specified at follow at C1D1.Irinotecan(180 mg/m2), 5-FU(Bolus: 400 mg/m2, Infusion: 2,400 mg/m2), Levofolinate(200 mg/m2), Bevacizumab(5mg/kg)-08Feb2024: The subject received IP treatment with the same dose at C1D15.-16Feb2024: SAE occurred (event name: ileus, causal relationship with irinotecan: Yes). When the CRA received Form 12 (Japanese SAE form required by Japan regulation) from the CRC via email, it noted that the irinotecan dose was listed as 180 mg/m2. The CRA also checked the irinotecan dose on the administration record page on the EDC and found that it appeared to have been administered at 180mg/m2. The CRA contacted the CRC on the same evening, but was unable to reach the CRC and could not receive a response on the same day. .-20Feb2024: The CRA was contacted by the PI by phone, and confirmed that the CRC and PI forgot that the latest ICD (version 6.0/date of creation: August 24, 2023) had set the irinotecan dose for Cohort 3 portion at 150 mg/m2. The CRA confirmed that the subject received Irinotecan injection at 180mg/m2 as recommended in the protocol, rather than 150mg/m2 which was the standard site dose and specified in the site ICD. The PI's opinion is that the dose of 180mg/m2 is well tolerated with a safety-lead-in part which was conducted for the safety assessment before cohort 3 portion started, and that the ileus itself was not caused by the administration of 180mg/m2 although the relationship between irinotecan and ileus cannot be denied.</t>
  </si>
  <si>
    <t>GCP_Minor_Feb-2024_C4221015: Medication Error_Kumekawa, Yosuke_JPN</t>
  </si>
  <si>
    <t>Corrective Action:-20Feb2024: The PI notified of the subject that Irinotecan was injected by wrong dose. The PI confirmed that the subject has a will of study continuation.-20Feb2024: The PI decided to withdraw Irinotecan injection for the subject permanently, taking into consideration the SAE which occurred.-21Feb2024: The PI reported this event to Pfizer's safety department as medication error.-22Feb2024: The PI reported the event to within the site to the local medical safety committee as an incident report. (protocol deviation was reported within the site)-26Feb2024: CRAs will confirm if there is no similar cases which occurred for all subjects in Japan.Preventive Action:-2024/2/21: The CRA conducted retraining to PI/CRC for site 1401 by telephone.-2024/2/21: The PI and the CRC revised the dosing for irinotecan on their printed out protocols to 150mg/m2.-2024/2/21: The primary CRC has already shared this case with the sub-CRC and Pharmacy department.-2024/2/22: The PI has already shared this case with SIs at an in-hospital conference, SIs also revised the dosing for irinotecan on their printed out protocols to 150mg/m2.-2024/2/26: The site is considering whether there are any measures that can be taken to prevent recurrence using electronic medical records.-2024/2/26: The CRA will share information and alert other sites regarding this issue.</t>
  </si>
  <si>
    <t>QE-101045</t>
  </si>
  <si>
    <t>PFIZER, PPD, INC.</t>
  </si>
  <si>
    <t>Transfer of IP (fluorouracil) between 2 sites was completed prior to IP13-RF05 being fully approved.</t>
  </si>
  <si>
    <t>GCP_Minor_Mar-2024_C4221015: IP Transfer_PPD, INC_USA</t>
  </si>
  <si>
    <t xml:space="preserve">SCL disabled the kit IDs in IRT so that supply cannot be dispensed. PPD CTM contacted site to inform them to hold supply until further direction is provided. Drug is being properly stored at site in the meantime. </t>
  </si>
  <si>
    <t>QE-101236</t>
  </si>
  <si>
    <t>Van Morris (C4221015-1001)</t>
  </si>
  <si>
    <t>Site 1001 did not complete any protocol required ePRO questionnaires for the four subjects enrolled in the study since 2022. The site confirmed via email on multiple occasions that the questionnaires were being completed per protocol and there were no issues.</t>
  </si>
  <si>
    <t>GCP_Minor_Mar-2024_C4221015: Protocol Deviation: ePRO Completion_Morris, Van Karlyle_USA</t>
  </si>
  <si>
    <t>Rose Gerwig</t>
  </si>
  <si>
    <t xml:space="preserve">Site was retrained by the CRA. Protocol deviations noted. IRB to be notified by site. </t>
  </si>
  <si>
    <t>QE-101270</t>
  </si>
  <si>
    <t>Joan Maurel Santasusana (C4221015-1034)</t>
  </si>
  <si>
    <t>The investigators at this site are not reviewing and signing the central laboratory reports.  This is a protocol requirement; the protocol states that 'The investigator must review the central laboratory report, document this review and record any clinically significant changes occurring during the study in the AE section of the CRF. '</t>
  </si>
  <si>
    <t>GCP_Minor_Mar-2024_C4221015: PI Responsibilities_Maurel Santasusana, Joan_ESP</t>
  </si>
  <si>
    <t>Minor/Unrated Quality Event</t>
  </si>
  <si>
    <t xml:space="preserve">The Pfizer Site Relationship Partner has discussed this with the CRA / PI and escalated to the Pfizer Study Manager and PPD CTM.  The PI agreed to have further internal discussion about this but outcome is pending.  </t>
  </si>
  <si>
    <t>QE-106453</t>
  </si>
  <si>
    <t>Christina Wu (C4221015-1340)</t>
  </si>
  <si>
    <t>INV02-INV04-GSOP-RF09 was not followed at site1340 on C4221015. Site is utilizing their own version of the SSDDL and it does not include the Personal Data Consent information on it. Site refuses to have all study site staff sign the Pfizer Data Consent form as they have a site SOP that states only people listed on the FDA 1572 will sign a Personal Data Consent Form. This is only 15 out of 65 study members at the site.</t>
  </si>
  <si>
    <t>GCP_Minor_Mar-2024_C4221015: CMCD: Site Signature and Delegation of Duties Logs_Wu, Christina_USA</t>
  </si>
  <si>
    <t>John Henderson</t>
  </si>
  <si>
    <t>Issue was noted in Siebel and presented to the site</t>
  </si>
  <si>
    <t>QE-111539</t>
  </si>
  <si>
    <t>For study C4221015 (BREAKWATER, including SLI, Phase 3 and Cohort 3 portion) the randomization for Cohort 3 portion was, incorrectly set up with a 1:1 ratio, instead of 2:1 ratio, per protocol design.  The randomization of Cohort 3 started in DEC2023, and, as of 24APR2024,  87 patients, of 135 planned, are randomized in this portion of the study. The issue was discovered today (24Apr) by PPD and communicated to the study manager and the statistician confirmed the error.</t>
  </si>
  <si>
    <t>GCP_Minor_Apr-2024_C4221015: Cohort Randomization_Pfizer_Global</t>
  </si>
  <si>
    <t>DMB02-Statistical Analysis Plan</t>
  </si>
  <si>
    <t>Tiziana Usari</t>
  </si>
  <si>
    <t>To evaluate if a protocol amendment is required. To amend the SAP. To notify sites/ECs/IRBs and HA</t>
  </si>
  <si>
    <t>QE-113906</t>
  </si>
  <si>
    <t>Philippe Vergauwe (C4221015-1289)</t>
  </si>
  <si>
    <t>C4221015, Site 1289: Study Coordinator at site shared the Subject Identification Log with site CRA.</t>
  </si>
  <si>
    <t>GCP_Minor_May-2024_C4221015: Communication Method: Participant Confidentiality_Vergauwe, Philippe_BEL</t>
  </si>
  <si>
    <t>Pankaj Sachdeva</t>
  </si>
  <si>
    <t>Site coordinator and CRA both have deleted the emails.</t>
  </si>
  <si>
    <t>QE-114857</t>
  </si>
  <si>
    <t>Pre-read material containing unblinded data potentially circulated to colleagues beyond those on the unblinded list for Study C4221015.</t>
  </si>
  <si>
    <t>GCP_May2024_C4221015_Benefit Risk Committee Pre-read Material  Containing Unblinded Data Shared With Colleagues Not Listed In The Unblidned List_Pfizer Global</t>
  </si>
  <si>
    <t>&lt;p&gt;Product Protocol Number(s):&amp;nbsp;&lt;/p&gt;&lt;p&gt;C4221015&lt;/p&gt;&lt;p&gt;&amp;nbsp;&lt;/p&gt;&lt;p&gt;Involved Party / Country:&lt;/p&gt;&lt;p&gt;Pfizer/Global&lt;/p&gt;&lt;p&gt;&amp;nbsp;&lt;/p&gt;&lt;p&gt;Description of the Issue(s):&lt;/p&gt;&lt;p&gt;&lt;span style="color: rgb(48, 48, 48); background-color: rgb(255, 255, 255);"&gt;The C4221015 study is an open-label, multicenter, randomized phase 3 study of first-line Encorafenib plus Cetuximab with or without chemotherapy versus standard of care with a safety lead-in of Encorafenib and cetuximab plus chemotherapy in participants with metastatic BRAF V600E-Mutant Colorectal Cancer.&lt;/span&gt;&lt;/p&gt;&lt;p&gt;&lt;span style="color: rgb(48, 48, 48); background-color: rgb(255, 255, 255);"&gt;&amp;nbsp;&lt;/span&gt;&lt;/p&gt;&lt;p&gt;&lt;span style="color: rgb(48, 48, 48); background-color: rgb(255, 255, 255);"&gt;Pre-read material for an interim Benefit Risk Committee (BRC) analysis was sent out to the core BRC members in March 2024. This pre-read material included a confidentiality notice as to prevent sharing of unblinded material. Per the study Data Access Plan those colleagues receiving unblinded material must be added to the “&lt;/span&gt;C4221015 Embargo – ACL – Unblinded and Blinded Team Members Log” to track those who have been granted access to unblinded data. In May 2024 the study Global Program Manager (GPM) found that the BRC core members were not added to the “C4221015 Embargo – ACL – Unblinded and Blinded Team Members Log.” No blinded study team members were unblinded by this event as the core BRC members are not considered blinded study team members.&lt;/p&gt;</t>
  </si>
  <si>
    <t>Elena Beyzarov</t>
  </si>
  <si>
    <t xml:space="preserve">Email communication was sent requesting immediate deletion of email containing relevant attachment (with confirmation of action). </t>
  </si>
  <si>
    <t>QE-114943</t>
  </si>
  <si>
    <t>Manabu Shiozawa (C4221015-1396)</t>
  </si>
  <si>
    <t>On C6D15(9/May/2024) visit for subject#13961005, Levoleucovorin 100 mg/Vial could not be dispensed due to insufficient inventory.The patient would normally have received Encorafenib, Cetuximab, and FOLFOX (Levoleucovorin, Fluorouracil, Oxaliplatin), but at the discretion of the sub-investigator, only Encorafenib and Cetuximab were administered.Background:-24/Apr/2024: Subject #13961003 visited the site for C22D15 and was administered 3 vials of Levoleucovorin. (the site inventory of levoleucovorin was 13 vials.).-25/Apr/2024: The CRA received a shipment order from Thermo Fisher Scientific（Shipment Number：1832392 Levoleucovorin 10 vials）.The CRA checked the drugs in the shipment but could not check the site inventory because the CRA was busy dealing with other sites. As a result, the CRA wasn’t aware that there would be a shortage of Levoleucovorin on 9/May/2024.Subject #13961005 visited the site for C6D1 and was administered 4 vials of Levoleucovorin. (the site inventory of levoleucovorin was 9 vials.).-26/Apr/2024: Shipments #1828091, 1831038, 1831170 were delivered. -The CRA miscalculated the point at which the inventory of investigational drugs would become insufficient while considering the amount of investigational drugs that needed to be individually ordered. As a result, the CRA incorrectly assumed that an adequate amount of Levoleucovorin would be delivered to the site on 26/Apr/2024,when the actual quantity was insufficient.-1/May/2024: Subject #13961004 visited the site for C11D1 and was administered 4 vials of Levoleucovorin. (the site inventory of levoleucovorin was 5 vials.).-8/May/2024: Subject #13961003 visited the site for C23D1 and was administered 3 vials of Levoleucovorin. (the site inventory of levoleucovorin was 2 vials.).-9/May/2024: Subject #13961005 visited the site for C6D15.The CRA heard from CRC that the investigational drug could not be dispensed due to a shortage of Levoleucovorin.The CRA informed the CRC that the CRA was arranging delivery for the Levoleucovorin insufficient IP on 10/May/2024 AM. -The CRA informed the CRC that Levoleucovorin could be delivered at 10?May/2024 AM. At that time, the CRA was notified by the CRC that Subject #13961005 was skipped for all FOLFOX and administered only Encorafenib and Cetuximab, based on the sub-investigator's judgment considering the burden of visiting to the site again, although only Levoleucovorin was insufficient.The CRA asked the sub-investigator through the CRC to document the sub-investigator 's judgment about skipped for all FOLFOX and administered only Encorafenib and Cetuximab to subject 13961005.-14/May/2024:CRAs will ask the sub-investigator through the CRC to follow up whether thre are any AEs or worsening of disease due to skipping FOLFOX.</t>
  </si>
  <si>
    <t>GCP_Minor_May-2024_C4221015: Medication Error; Monitoring Responsibilities_Shiozawa, Manabu; PPD_JPN</t>
  </si>
  <si>
    <t>Failure to detect/document, Inadequate preparation, dosing, dispensing error</t>
  </si>
  <si>
    <t>INV04-Investigational Site Management and Monitoring, IP13-Investigational Medicinal Product</t>
  </si>
  <si>
    <t>Corrective Action:-9/May/2024: The CRA confirmed that the investigational drug inventory at other sites they were managing was sufficient and no shortage was expected due to recent subject visits, and that adequate quantities had been arranged for delivery.-14/May/2024: Levoleucovorin was delivered on 14/May/2024.-14/May/2024: The other CRA confirmed that the investigational drug inventory at all sites was sufficient and no shortage was expected due to recent patient visits, and that adequate quantities had been arranged for delivery.The sub-investigator recorded this incident as a deviation in the source document.Preventive Action:-The CRA will manage the investigational drug inventory using an Excel tool that automatically calculates the balance between the site’s invetntry and the projected subject usage.-Upon receipt of a shipment order from Thermo Fisher Scientific, the CRA will check the shipment contents and the current site inventory within one business day to ensure there are no shortages. If the shipment contents cannot be verified within one business day, the other CRA will determine when the shipment needs to be delivered and communicate this to the CRA.The CRA will extract the sites inventory data via iview2 system every week, and the team will establish a double-check system to confirm the following: -The inventory at the time of extraction -Whether there are any shipments at the time of extraction -The schedule for the next subject visit-The CRA plans to request that the site staff share their inventory numbers with the CRA as necessary, depending on the status of the sites inventory.</t>
  </si>
  <si>
    <t>QE-115094</t>
  </si>
  <si>
    <t>This event is related to DMB10-WI-GL02 Safety Narrative Plan and Safety Narratives. The Safety Narratives for the C4221015 (BREAKWATER Study) were not final at the time of CSR QC start date (14-May-24). During the final review of the last batch of narratives, there were 6 queries that arose across 4 sites in China, Japan, and Taiwan. Five out of the six queries were resolved however one was still open prior to start of CSR QC per DMB10.</t>
  </si>
  <si>
    <t>GCP_Minor_May-2024_C4221015: CMCD: Narratives and QC Start Date_Pfizer_Global</t>
  </si>
  <si>
    <t>DMB10-Clinical Study Report</t>
  </si>
  <si>
    <t>Brian Lee</t>
  </si>
  <si>
    <t xml:space="preserve">Emails were sent by Clinician to sites with queries attached for resolution. Country specific study teams also followed up with respective sites to ensure resolution on these queries ASAP. Five out of the six queries were resolved however one was still open as of 14May24 prior to start of CSR QC per DMB10.  The remaining query should be resolved within a few days and prior to completion of CSR QC. </t>
  </si>
  <si>
    <t>QE-115384</t>
  </si>
  <si>
    <t>Sanjeev Deva (C4221015-1202)</t>
  </si>
  <si>
    <t>Site uploaded CT Scan images with subject identifier on external vendor portal.</t>
  </si>
  <si>
    <t>GCP_Minor_May-2024_C4221015: Participant Confidentiality_Deva, Sanjeev_NZL</t>
  </si>
  <si>
    <t>Portal was requested to delete the images which was done on the same day.</t>
  </si>
  <si>
    <t>QE-117922</t>
  </si>
  <si>
    <t>ICON PLC, PFIZER</t>
  </si>
  <si>
    <t>Site randomized 175 ppts. There was an RQA Audit (PR-222077) conducted on 09-10MAR2023 with a major finding: A lack of PI oversight was identified in regard to the documentation of continued eligibility by an investigator for 12 of 14 participants sampled. There was an Effectiveness check required between 01AUG2023- 01NOV2023 that was not completed.  Per Siebel Issues Action log, CRA identified an Issue (ID 1-4JTYQBB) on 26SEP2023 indicating “ the process for how eligibility review is completed at visits not clear in source”.  “Site to provide NTF that clarifies the process for when PI is not able to be part of the clinic visit by 20OCT2023.”SCP is unable to locate NTF in PTMF.  During recent MV’s on 16-17APR &amp;amp; 29-30APR, it was confirmed according to paper source documents, PI determines continued eligibility via text, phone or in person.   This portion of the source is completed by the SC and later (typically dated same day as visit) co-signed by PI.    PI was unable to provide a documented process for determining eligibility remotely and how she is able to review paper source documents (including any relevant ER/hospital medical records/ changes in med hx/ AEs/ new conc meds etc) used to determine continued eligibility prior to dosing, per protocol.  PI confirmed that site uses HIPPA compliant hospital-based communication application, “Practice Unite” for texting during remote continued eligibility process.  All texts are deleted within 5 days.</t>
  </si>
  <si>
    <t>GCP_Major_May-2024_Multiple protocols: Audit CAPA Effectiveness Check_Pfizer/ICON_USA</t>
  </si>
  <si>
    <t>&lt;p&gt;Product Protocol Number(s): C4601003, C3891001, C3441021, C4221015&lt;/p&gt;&lt;p&gt;&amp;nbsp;&lt;/p&gt;&lt;p&gt;Involved Party / Country:&lt;/p&gt;&lt;p&gt;Vendor: ICON / United States&lt;/p&gt;&lt;p&gt;Pfizer / United States&lt;/p&gt;&lt;p&gt;&lt;br&gt;&lt;/p&gt;&lt;p&gt;Protocol Title(s): &amp;nbsp;&lt;/p&gt;&lt;p&gt;&lt;br&gt;&lt;/p&gt;&lt;p&gt;C4601003: A Phase 3, Multicenter, Placebo-Controlled, Randomized, Observer-Blinded Trial to Evaluate the Efficacy, Safety, Tolerability, Immunogenicity, and Lot Consistency of a 6-Valent OspA-Based Lyme Disease Vaccine in Healthy Participants ≥5 Years of Age&lt;/p&gt;&lt;p&gt;&lt;br&gt;&lt;/p&gt;&lt;p&gt;C3891001: A Phase 1 Study to Evaluate the Safety, Pharmacokinetics, and Pharmacodynamics of Escalating Doses of PF-06940434 in Patients with Advanced or Metastatic Solid Tumors&lt;/p&gt;&lt;p&gt;&lt;br&gt;&lt;/p&gt;&lt;p&gt;C3441021: A Phase 3, Randomized, Double-Blind, Placebo-Controlled Study of Talazoparib with Enzalutamide in Metastatic Castration-Resistant Prostate Cancer&lt;/p&gt;&lt;p&gt;&lt;br&gt;&lt;/p&gt;&lt;p&gt;C4221015: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Cancer&lt;/p&gt;&lt;p&gt;&lt;br&gt;&lt;/p&gt;&lt;p&gt;&lt;br&gt;&lt;/p&gt;&lt;p&gt;Description of the Issue(s): &amp;nbsp;On 23-May-2024, the Pfizer Site Care Partner (SCP) for study C4601003 was reviewing the Issues and Action Log for site 1231 and discovered open actions related to a routine site audit (SI2023-0071, PR ID 2220771) performed by Pfizer from 28-Feb through 02-Mar-2023. &amp;nbsp;Upon further review, the SCP determined an Effectiveness Check (EC) associated with one of the Major Observations of the audit, PR ID 2224037, was still open even though it was submitted for EC review and approval on 23-Jan-2024. &amp;nbsp;The original due date for the EC was 31-Jul-2023. &amp;nbsp;The Pfizer SCP then reviewed the Data and Analytics (DnA) tower and determined there were two open audit ECs for a different site for the C4601003 study, site 1263. &amp;nbsp;The routine site audit for site 1263 (SI2023-0070, PR ID 2220770) was conducted from 28-Feb through 02-Mar-2023 and there were two Major observations, PR ID 2223499 and PR ID 2223503. &amp;nbsp;The ECs for PR ID 2223499 and PR ID 2223503 were still open even though it they were submitted for EC review and approval on 22-Jan-2024. &amp;nbsp;The original due date for the ECs was 31-Jul-2023.&amp;nbsp;&lt;/p&gt;&lt;p&gt;&lt;br&gt;&lt;/p&gt;&lt;p&gt;During the course of the investigation, a Pfizer Good Clinical Practice (GCP) Audit and Inspection Quality Lead discovered there were three other studies with overdue audit ECs: C3891001, C3441021, and C4221015.&lt;/p&gt;</t>
  </si>
  <si>
    <t>Inadequate Principal Investigator quality oversight, Lack of quality assurance program (e.g., independent quality assurance function, missing Quality Plan)</t>
  </si>
  <si>
    <t>QMS08-Audit Process</t>
  </si>
  <si>
    <t>Jennifer Wysocki</t>
  </si>
  <si>
    <t>Escalated to study team for awareness and discuss next steps on 01MAY24Reviewed Audit Report and confirmed Effectiveness check EC 2224037 was not completed.  Met with PI and site staff on 23MAY24 to review site process and request documentation of process for PI determining eligibility remotely. Requested PI provide a documented process by 29MAY24- still pending.</t>
  </si>
  <si>
    <t>QE-118441</t>
  </si>
  <si>
    <t>Heinz-Josef Lenz (C4221015-1005)</t>
  </si>
  <si>
    <t>C4221015 Site 1005 - 3 ICDs were approved on 10Nov2023 (Main, Safety Lead-In and Withdrawal) but GRAFs were never completed. Upon notice of this ~Apr/May2024 ICDs were submitted to Legal and Clinical. Legal requested changes, during this time 1 patient was consented. SCP was notified on 31May2024 that a QE would need to be submit for this scenario.</t>
  </si>
  <si>
    <t>GCP_Minor_May-2024_C4221015: Informed Consent Process; Global Review and Approval Form (GRAF)_Heinz-Josef, Lenz: Pfizer_USA</t>
  </si>
  <si>
    <t>Jeremiah Babcock</t>
  </si>
  <si>
    <t>Working with site to update ICD.</t>
  </si>
  <si>
    <t>Turnover/Attrition</t>
  </si>
  <si>
    <t>QE-118835</t>
  </si>
  <si>
    <t>Investigational Products (IPs) were transferred from site 1175 to site 1137 of C4221015 study on 3-Jun-2024, before approval of IP13-GSOP-RF05 Transfer of Investigational Medicinal Product is obtained. Site 1137 was running out of IPs, and IPs were urgently needed to be delivered to site by 3-Jun-2024 for subject visits to be occurred on 4-Jun-2024 and 5-Jun-2024. During confirmation of site details of IP13-GSOP-RF05, site monitor misunderstood that approval has been provided for the IP transfer, and arranged the IP transfer. The transferred IPs have not been used on any study subject. Site will wait for further instructions for the transferred IPs. Site Monitor has been reminded that IP13-GSOP-RF05 approval should be obtained before initiating any IP transfer.</t>
  </si>
  <si>
    <t>GCP_Minor_May-2024_C4221015: CMCD: Investigational Product (IP) Management _PPD, Inc._TWN</t>
  </si>
  <si>
    <t>Site Monitor has been reminded to confirm IP13-GSOP-RF05 is obtained before initiating any IP transfer.</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</si>
  <si>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</si>
  <si>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</si>
  <si>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</si>
  <si>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</si>
  <si>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</si>
  <si>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</si>
  <si>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</si>
  <si>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Inconsistency Between Documents (Document Standard Lacking/Incorrect Standard Content)</t>
  </si>
  <si>
    <t>QE-120528</t>
  </si>
  <si>
    <t>Shinji Takeuchi (C4221015-1394)</t>
  </si>
  <si>
    <t>The SC who has a license of a pharmacist for this study assigned the investigational products(IPs) to be used in Cycle1Day1(C1D1) of the subject# 13941003 (Cohort 3/Arm:D, Encorafenib + Cetuximab + Fluorouracil + Irinotecan hydrochloride + Calcium Levofolinate Hydrate) scheduled for 06Jun2024, by IWRS on 05Jun2024. After that, the SC took out the medication box (Cetuximab/Bevacizumab) from the refrigerator to prepare for C1D1 of the subject# 13941003 the day before administration.The Cetuximab to be used in C1D1 of the subject 13941003 was returned to the designated refrigerated storage location by the SC, but the SC forgot to return the remaining Cetuximab/Bevacizumab into the refrigerator, resulting in those IPs were exposed at room temperature for approximately 18 hours (between 05Jun2024 18:00 and 06Jun2024 12:00, min: 22.9°C, max: 24.0°C). On 06Jun2024, the subject# 13941002 visited the site for C17D1 and was scheduled to receive Cetuximab injection, but because all cetuximab in the site's inventory had been exposed to room temperature for a long period of time, the subject was unable to receive Cetuximab injection on that day, so the Investigator judged that the subject should continue Encorafenib dosing only.Because Cetuximab which was assigned for the subject# 13941003's C1D1 administration on 05Jun2024, was stored in a refrigerated location between 2°C and 8 °C, two vials of Cetuximab were not affected.【Background】The SC is delegated to handle both SC tasks and tasks related to IPs for this study.05Jun2024: -The SC took the Cetuximab from the refrigerator for Subject #13941003's C1D1, which was scheduled for the next day. Both Cetuximab and Bevacizumab were stored in the same medication box as refrigerated drugs. So the SC took out the medication box from the refrigerator. The SC confirmed the number of Cetuximab for use in a location different from the usual dispensing counter.-The SC received an inquiry while preparing the IPs for Subject #13941003, so the SC prioritized response to the inquiry and forgot to return the medication box taken from the refrigerator to its original location.06Jun2024: -The SC noticed that the medication box(Cetuximab/Bevacizumab) had been exposed at room temperature for about 18 hours without being returned to the refrigerator when tried to prepare Cetuximab for the C17D1 administration of Subject #13941002 (Phase 3/Arm:A Encorafenib + Cetuximab) around noon.-The CRA confirmed the above details from the SC and inquired about the propriety of administrating of Cetuximab, to which the CRA responded that it was difficult to give an immediate answer because Global confirmation about the temperature excursion was required.-The SC shared with the investigator and Subject #13941002 that the scheduled administration Cetuximab of C17D1 for the subject was no longer possible. As a result, the investigator decided to continue only Encorafenib administration on the day. After considering the next visit, the CRA confirmed the visit plan for 18Jun2024, that based on Subject #13941002's schedule, investigator's schedule, and chemotherapy room schedule.【Issue identification】When the SC assigned Cetuximab for C17D1 for the subject #13941002 by IWRS on 06Jun2024 and the SC tried to proceed a preparation of Cetuximab. However, the SC noticed that the medication box(Cetuximab/Bevacizumab) were not returned into the refrigerator and those IPs were exposed at room temperature about 18 hours.</t>
  </si>
  <si>
    <t>GCP_Minor_Jun-2024_C4221015: IP Temperature Excursion; Missed Dose_Takeuchi, Shinji_JPN</t>
  </si>
  <si>
    <t>Medicinal Product, Protocol Deviations</t>
  </si>
  <si>
    <t>Failure to follow protocol, Inadequate handling, storage, availability</t>
  </si>
  <si>
    <t>CT40-Management of Protocol Deviations, IP13-Investigational Medicinal Product</t>
  </si>
  <si>
    <t>Corrective Action:06Jun2024: -The SC immediately returned the medication box (Cetuximab/Bevacizumab) that had been exposed at room temperature to the refrigerator.-The SC explained to the investigator and subject# 13941002 that the administration of Cetuximab for that day was not possible.-The CRA reported the temperature excursion to Global Clinical Supply (GCS) along with temperature logger data obtained from the site, and also inquired about the future availability of those IPs(Cetuximab/Bevacizumab).-After considering the subject #13941002 schedule, the investigator’s schedule, and the reservation status of the chemotherapy room, it was adjusted to the next visit on 18Jun2024. Based on the judgment of the investigator, considering the trend of previous tumor evaluations, it was determined that the efficacy would not be significantly affected and the next administration on 18Jun2024 was deemed appropriate.07Jun2024：The CRA confirmed that the earliest date of receipt of the additional delivery for Cetuximab at the site would be 12Jun2024, and made arrangements for the shipment. The CRA confirmed with the site staff that there would be no change in the earliest administration date for Subject #13941002, which is set for 18Jun2024.12Jun2024：-The CRA obtained a response from GCS stating that the Cetuximab/Bevacizumab in the site inventory is available for use, and conveyed this information to the site.- The deviation record is currently being created at the site.-The CRA confirmed that the additional delivery was received at the site. Preventive Action:-To clearly distinguish between the medication boxes stored at room temperature and those stored in the refrigerated area, the site will change the color of the medication boxes in the refrigerated area.-The personnel responsible for tasks related to the IPs will strictly adhere to placing the medication boxes taken from the storage area on the dispensing counter.-The personnel responsible for tasks related to the IPs will also double-check that all medication boxes are properly stored and managed before leaving the dispensing counter.-The CRA trained pharmacists again that the site must manage IP storage comply storage condition which is specified on IP manual.</t>
  </si>
  <si>
    <t>QE-123901</t>
  </si>
  <si>
    <t>Julieta Dalmasso (C4221015-1149), Maria Baiud (C4221015-1149)</t>
  </si>
  <si>
    <t>There are 3 SAEs reported in PSSA with delay and without the corresponding escalation according INV04_GSOP-SD-GL04 (version 7.0, 15.Nov.2023):a) Subject 114910005: Hospitalization due to Pneumonia occurred on 13.Aug.2023, PIwas aware on 13.Aug.2023 and the report in PSSA was completed on 11.Mar.2024 (211 days of delay)b) Subject 11491005: Septic Shock resulted in death occurred on 13.Aug.2023, PI was aware on 31.Oct.2023 and the report in PSSA was completed on 04.Jan.2024 (65 days of delay)c) Subject 11491007: Hospitalization due to Deep Vein Thrombosis occurred on 10.Apr.2024, PI was aware on 12.Apr.2024 and the report in PSSA was completed on 10.May.2024 (28 days of delay)</t>
  </si>
  <si>
    <t>GCP_Major_Jun-2024_C4221015: CMCD: SAE Reporting, Safety Reporting_Baiud, Maria_ARG; Dalmasso, Julieta_ARG; PPD_Global; Pfizer_Global</t>
  </si>
  <si>
    <t>&lt;p&gt;Protocol/Product Number: C4221015&lt;/p&gt;&lt;p&gt;Involved party/country: PI Maria Baiud (site 1149); Site Personnel Julieta Dalmasso (site 1149); PPD, Inc./Global; Pfizer Inc./Global&lt;/p&gt;&lt;p&gt;&lt;br&gt;&lt;/p&gt;&lt;p&gt;C4221015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cancer.&lt;/p&gt;&lt;ul&gt;&lt;li&gt;PPD, Inc. is delegated to site management and monitoring.&lt;/li&gt;&lt;li&gt;Pfizer SAE Submission Assistant (PSSA) is an electronic platform utilized for the reporting of SAEs.&lt;/li&gt;&lt;li&gt;Serious Adverse Events (SAE) Report Form Pfizer SAE Submission Assistant Completion Guide is a site-facing document which specifies how and when SAEs and updates to SAEs are to be reported.&amp;nbsp;&lt;/li&gt;&lt;li&gt;Site Quality Risk Dashboard (SQRD) is a tool designed to help Pfizer oversight roles identify potential quality risks at the site level and prioritize workload.&amp;nbsp;&lt;/li&gt;&lt;/ul&gt;&lt;p&gt;&lt;br&gt;&lt;/p&gt;&lt;p&gt;&lt;span style="font-family: Arial, sans-serif;"&gt;Upon the site 1149’s receipt of documents from an external medical facility where participant 11491005 was treated, the study coordinator (SC) entered the Pneumonia and Septic Shock SAEs within the electronic Data Capture (eDC) on 06 Nov 2023 but not into the PSSA system. The site was then queried by the Data Management team on 14 Dec 2023 as the SAEs had not been reported to the Pfizer Data Safety Unit (DSU). In response to an incorrect determination by the PI that the events were to have been reported as separate independent SAEs and under the guidance of the PPD Site Monitor, the site coordinator submitted SAE reports via PSSA tool for Septic Shock (PV202400001976) 65 days after the site’s awareness and Pneumonia (PV20240000333603) 211 days after the site’s awareness.&amp;nbsp;&lt;/span&gt;&lt;/p&gt;&lt;p&gt;&lt;br&gt;&lt;/p&gt;&lt;p&gt;&lt;span style="font-family: Arial, sans-serif;"&gt;On 13 Apr 2024, upon the site’s awareness of participant 11491007’s Deep Vein Thrombosis the day prior, the main study coordinator did not submit the report via the PSSA reporting tool. This SAE was reported via PSSA by the site’s other study coordinator on 10 May 2024.&amp;nbsp;&lt;/span&gt;&lt;/p&gt;&lt;p&gt;&lt;br&gt;&lt;/p&gt;&lt;p&gt;During a 19 Jun 2024 oversight visit triggered by the SQRD which indicated that site 1149 had unreconciled late SAE reporting for the C4221015 study, it was confirmed that three SAEs were not reported within 24-hours of site awareness.&lt;/p&gt;</t>
  </si>
  <si>
    <t>AE reporting to Sponsor, Quality Procedures, Safety surveillance and reporting by Sponsor</t>
  </si>
  <si>
    <t>Delayed SAE reporting, Failure to a follow sponsor/third party/site controlled procedure (e.g., SOP or statistical analysis plan), Inadequate/incomplete internal safety surveillance, risk management and safety reporting</t>
  </si>
  <si>
    <t>AEM01-Adverse Event Monitoring, QMS01-Reporting and Management of Quality Events</t>
  </si>
  <si>
    <t>Eugenio Silva Meneses</t>
  </si>
  <si>
    <t xml:space="preserve">The SREP reviewed this issue with the investigator and emphasized the importance of complying with the established deadlines to report an SAE from the moment the investigator is aware about this event to the sponsor and also to the involved regulatory entities. In this regard, the SREP reminded the investigator that in the event of any problem complying with this item, she must immediately contact the CRA to notify of the SAE and the existing problem to comply with the notification so that the solution to the problem can be found. </t>
  </si>
  <si>
    <t>Rather than submitting details regarding a previously reported SAE that had evolved, the site inaccurately submitted the details as separate SAEs upon their receipt of additional hospital records from the external location that the participant was treated. This occurred after the site had been directed to report these to Safety without the understanding of how to appropriately report the details. As these separate PSSA reports occurred more than 24-hours after the site’s awareness and months after entry of the event details within eDC, they were flagged as late reported SAEs to Sponsor during the oversight visit.&amp;nbsp;, The site had not successfully followed the guidance of the PSSA document and could not log into the PSSA platform for reporting of the SAEs. Instead, they relied on the CRA for resolution but it could not be provided by the CRA within the required SAE reporting timeline. Updating previously-reported SAEs was not at the forefront of SIV slides nor was PSSA utilization included with the required SAE reporting training materials to which CRAs were trained. &amp;nbsp;Neither the site staff nor Site Monitor maintained an awareness of how updating already reported SAEs was to be correctly carried out resulting in the incorrect and late reporting of separate SAEs., The transition from one SC to another was not adequately conducted by the site nor overseen by the PI as the reporting of the participant’s SAE which there was awareness of during that time period was missed from taking place within the 24-hours post- awareness by the main study coordinator who was transitioning off of the study and the back-up coordinator was not providing support on the study on a daily basis. &amp;nbsp;</t>
  </si>
  <si>
    <t>Human Performance, Method/Procedure, Personnel</t>
  </si>
  <si>
    <t>Decision Error, Training Materials, Turnover/Attrition</t>
  </si>
  <si>
    <t>Inadequate/Inaccurate/Confusing (Document Standard Lacking/Incorrect Standard Content), Information Used was not Representative/Adequate, Relevant, Accurate or Current, Turnover/Attrition</t>
  </si>
  <si>
    <t>QE-126372</t>
  </si>
  <si>
    <t>For study C4221015 (BREAKWATER, including SLI, Phase 3 and Cohort 3 portion) the randomization for Cohort 3 portion was incorrectly set up with a 1:1 ratio, instead of 2:1 ratio, as defined in the protocol design.  The randomization of Cohort 3 started in DEC2023, and, as of 24APR2024, 87 patients of 135 planned are randomized in this portion of the study. The issue was discovered on 24APR24 by PPD and communicated to the study manager. The study statistician confirmed the error. A QE was submitted on 24APR24 in Pfizer Quality Event System (QE-111539). Upon review it was considered minor on 25APR24. CAPA was implemented including: a new QC of randomization specification performed by an independent statistician is going to be implemented for all oncology studies, study protocol was amended (31MAY24), SAP was amended (07MAY24), ICDs were reviewed and no changes were required. Subsequently on 03JUL24 Angela Ali asked to submit a new QE about this issue.</t>
  </si>
  <si>
    <t>GCP_Major_Jul-2024_C4221015: Cohort Randomization Set-up_Pfizer_Global</t>
  </si>
  <si>
    <t>&lt;p&gt;Product Protocol Number:&lt;/p&gt;&lt;p&gt;C4221015&lt;/p&gt;&lt;p&gt;&lt;br&gt;&lt;/p&gt;&lt;p&gt;Involved Party / Country:&lt;/p&gt;&lt;p&gt;Pfizer / Global&lt;/p&gt;&lt;p&gt;&lt;br&gt;&lt;/p&gt;&lt;p&gt;C4221015: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CANCER&lt;/p&gt;&lt;p&gt;&lt;br&gt;&lt;/p&gt;&lt;p&gt;For study C4221015 (BREAKWATER, including safety lead-in (SLI), Phase 3 and Cohort 3 portion), the randomization for Cohort 3 portion was incorrectly set up by the study statistician in the Global Randomization Administrative and Authoritative Blinding System (GRAABS) with a 1:1 ratio, instead of 2:1 ratio, as defined in the protocol design. The issue was discovered by the PPD (Contract Research Organization responsible for study oversight) Global Clinical Trial Manager (gCTM) and confirmed by the study statistician on 24 Apr 2024. &amp;nbsp;The randomization of Cohort 3 started in Dec 2023, and, as of 24 Apr 2024, 87 participants of 135 planned were randomized under the 1:1 ratio.&lt;/p&gt;&lt;p&gt;&lt;br&gt;&lt;/p&gt;</t>
  </si>
  <si>
    <t xml:space="preserve">CAPA was implemented including: a new QC of randomization specification performed by an independent statistician is going to be implemented for all oncology studies, study protocol was amended (31MAY24), SAP was amended (07MAY24), ICDs were reviewed and no changes were required. </t>
  </si>
  <si>
    <t>Decision error by the study statistician to copy randomization specifications utilized in the other portions of the C4221015 study over to the randomizations schedule specification request form for Cohort 3 instead of referring to the Final Approved Protocol to obtain the correct randomization specification., The Study Statistician does not recall reviewing the test randomization against the final approved protocol, as required by DMB06-GSOP Randomization Schedule, Data Blinding, and Break Blind.</t>
  </si>
  <si>
    <t>Decision Error, Omission Error</t>
  </si>
  <si>
    <t>Consequences of Decision Was not Known/Understood - Impact of Deviations/Variance in Process/Task not Known, Know But Missed (Not Completed) - Physiological Factors/Stressors Controls Non-Optimal</t>
  </si>
  <si>
    <t>QE-127101</t>
  </si>
  <si>
    <t>Boguslawa Karaszewska (C4221015-1135)</t>
  </si>
  <si>
    <t>Third instance of late SAE reporting; Several SAEs were reported late by investigators:Case ID (PV202300010349, PSSA 453153): Date of awareness: 22Dec2022 , date reported: 17Jan2023Case ID (PV202300010351, PSSA 45601): Date of awareness: 29Dec2022 , date reported: 17Jan2023Case ID (PV202400082528, PSSA 1007006): Date of awareness: 19Jun2024 , date reported: 21Jun2024Case ID (PV202400082537, PSSA 1007060): Date of awareness: 19Jun2024 , date reported: 21Jun2024</t>
  </si>
  <si>
    <t>GCP_Minor_Jul-2024_C4221015: SAE Reporting; Safety Reporting_Karaszewska, Boguslawa_POL DOWNGRADED</t>
  </si>
  <si>
    <t>&lt;p&gt;Product Protocol Number(s): &amp;nbsp;&lt;/p&gt;&lt;p&gt;C4221015&amp;nbsp;&lt;/p&gt;&lt;p&gt;&amp;nbsp;&lt;/p&gt;&lt;p&gt;Involved Party / Country: &amp;nbsp;&amp;nbsp;&lt;/p&gt;&lt;p&gt;PI: Karaszewska, Boguslawa (Site: 1135) / Poland&lt;/p&gt;&lt;p&gt;&amp;nbsp;&lt;/p&gt;&lt;p&gt;The C4221015 study is an open-label, multicenter, randomized phase 3 study of first-line encorafenib plus cetuximab with or without chemotherapy versus standard of care therapy with a safety lead-in of encorafenib and cetuximab plus chemotherapy in participants with metastatic BRAF V600E mutant colorectal cancer.&amp;nbsp;&lt;/p&gt;&lt;p&gt;&amp;nbsp;&lt;/p&gt;&lt;p&gt;The case quality event was submitted for greater than the third instance of late SAE Reporting and was identified by the study manager and reported by the clinical trials manager of the CRA for Poland site 1135, PI Karazewska. &amp;nbsp;During the course of the investigation, it was found that two of the five events reported were invalid: &amp;nbsp;&amp;nbsp;&lt;/p&gt;&lt;p&gt;&lt;br&gt;&lt;/p&gt;&lt;ul&gt;&lt;li&gt;PV202200002038, participant 11351001 reconciled by the Pfizer DSU as a duplicate Case&lt;/li&gt;&lt;li&gt;PV202300010351, participant 11351009 reconciled by the Pfizer Lead clinician as invalid, the submission is a follow-up report.&lt;/li&gt;&lt;/ul&gt;&lt;p&gt;&lt;br&gt;&lt;/p&gt;&lt;p&gt;Three valid late SAE cases for the site with a total of two interventions by the CRA on 17 Jan 2023, 21 Jun 2024 and Dear Investigator Letter on 17 Jun 2024, therefore this event meets minor criteria per INV04-GSOP-SD-GL04 7.0 Late Serious Adverse Event Escalation:&lt;/p&gt;&lt;ul&gt;&lt;li&gt;PV202400082537, participant 11351011, CRA intervention 21 Jun 2024&lt;/li&gt;&lt;li&gt;PV202400082528, participant 11351011, CRA intervention 21 Jun 2024&lt;/li&gt;&lt;li&gt;PV202300010349, participant 11351006, CRA intervention 17 Jan 2023&lt;/li&gt;&lt;li&gt;Dear Investigator Letter sent 17 Jun 2024&lt;/li&gt;&lt;/ul&gt;&lt;p&gt;&amp;nbsp;&lt;/p&gt;&lt;p&gt;Additionally, Pfizers DSU confirmed on 30 Jul 2024 that all ICSRs were submitted to the health authorities (HA) within the required reporting period with the exception of one event due to a technical issue. &amp;nbsp;There were no downstream impacts due to this technical issue with the report activation in SIRIUS.&lt;/p&gt;&lt;p&gt;&lt;br&gt;&lt;/p&gt;</t>
  </si>
  <si>
    <t>Evgenia Tsitsogianni</t>
  </si>
  <si>
    <t>Case ID (PV202300010349): PD was reported and documented in relevant report and follow up letter and site staff were retrained on requirements regarding safety reporting.Case ID (PV202300010351): PD was reported and documented in relevant report and follow up letter and site staff were retrained on requirements regarding safety reportingCase ID (PV202400082528): PD was reported and documented in relevant report and follow up letter. Case ID (PV202400082537): Based on MM's request (via ePIP) to report esophageal cancer as an SAE, received on 20Jun2024, CRA called site immediately with request to report SAE the same date. PD was reported and documented in relevant report and follow up letter. "Late SAE letter" was sent by medical monitors on 11Jul2024.</t>
  </si>
  <si>
    <t>System/Application/Equipment Layout or Design Hard to Maneuver</t>
  </si>
  <si>
    <t>QE-127133</t>
  </si>
  <si>
    <t>Ewa Nowakowska-Zajdel (C4221015-1363)</t>
  </si>
  <si>
    <t>Third instance of late SAE reporting; Several SAEs were reported late by investigators:Case ID (PV202300014498, PSSA 47580): Date of awareness: 20Jan2023 , date reported: 23Jan2023Case ID (PV202400012945, PSSA 878620): Date of awareness: 10Jul2023, date reported: 26Jan2024Case ID (PV202400083940. PSSA 1009600): Date of awareness: 17May2024, date reported: 25Jun2024</t>
  </si>
  <si>
    <t>GCP_Major_Jul-2024_C4221015: SAE Escalation Process; Monitoring Responsibilities_Nowakowska-Zajdel, Ewa; PPD_POL</t>
  </si>
  <si>
    <t>&lt;p&gt;Product Protocol Number: C4221015&lt;/p&gt;&lt;p&gt;&amp;nbsp;&lt;/p&gt;&lt;p&gt;Involved Party / Country: Nowakowska-Zajdel, Ewa (Site Number: 1363) / Poland&amp;nbsp;&lt;/p&gt;&lt;p&gt;Vendor: PPD, INC / Poland&lt;/p&gt;&lt;p&gt;&lt;br&gt;&lt;/p&gt;&lt;p&gt;Description of the Issue(s) including protocol title:&lt;/p&gt;&lt;p&gt;C4221015 (Alias: BREAKWATER) is an Open-Label, multicenter, randomized, phase 3 study of first line Encorafenib plus Centuximab with or without chemotherapy versus standard of care therapy with a safety lead-in of Encorafenib and Centuximab plus chemotherapy in participants with metastatic BRAF V600E-Mutant colorectal cancer. &amp;nbsp;&amp;nbsp;&lt;/p&gt;&lt;p&gt;&lt;br&gt;&lt;/p&gt;&lt;p&gt;Per Pfizer SOP INV04-GSOP-SD-GL04, Primary Investigators (PIs) have the responsibility to report any Serious Adverse Events (SAEs) that occur for participants enrolled at their sites within 24 hours of awareness of the SAE.&amp;nbsp;&lt;/p&gt;&lt;p&gt;&lt;br&gt;&lt;/p&gt;&lt;p&gt;Principal Investigator Nowakowska-Zajdel, site 1363 reported the first case, atrial fibrillation for participant 13631004, with a submission date 23 Jan 2023, and PI awareness date of 20 Jan 2023. &amp;nbsp;The PI Nowakowska-Zajdel entered the case in the PSSA tool; however, did not submit their entry by mistake. The C4221015 study is the first and only Pfizer study conducted at site 1363, the PI was not acclimated to entering the SAE data on the electronic data capture (EDC) form and reporting the SAE in an additional electronic system. In addition to becoming familiar with Pfizer's processes, there was an SAE submission process update fully implemented by the end of 2022. &amp;nbsp;The SAE reporting process that would have been previously entered in the EDC and reported to Pfizer Drug Safety Unit (DSU) by Fax Form changed to reporting SAEs via PSSA Tool with EDC entry. &amp;nbsp;&lt;/p&gt;&lt;p&gt;&lt;br&gt;&lt;/p&gt;&lt;p&gt;The second case, ‘Subileus’ for participant 13631008, with a submission date 26 Jan 2024 and Sub-I awareness date of 10 Jul 2023 was a submission error by the Sub-I. &amp;nbsp;The Sub-I entered the data in the EDC and the PSSA Tool; however, did not ‘submit’ in error. &amp;nbsp;The CRA initially requested that the site to submit the SAE for participant 13631008 on 24 Jan 2024, then updated the issue and action log. &amp;nbsp;On 26 Jan 2024, the case was submitted by the Sub-I successfully, associated protocol deviations and issue / actions were closed. &amp;nbsp;&amp;nbsp;&lt;/p&gt;&lt;p&gt;&lt;br&gt;&lt;/p&gt;&lt;p&gt;The third case, In-Patient Hospitalization Subileus for participant 13631008 was reported to the Pfizer DSU outside of the 24-hour required reporting period. The site awareness of the SAE was 17 May 2024 however, the event was reported to the Pfizer Drug Safety Unit (DSU) on 29 Jul 2024 (26 Jan 2024 initial and correct reporting). This subsequent late SAE reporting was at the request of the clinical research associate (CRA) at an interim monitoring visit, in error. The CRA called the site on 24 Jul and asked the site to submit the In-Patient Hospitalization as an initial report for Subilieus, and assisted the Sub-I through a Teams meeting on 29 Jul 2024. It was determined during the investigation that the third event (in-patient hospitalization of participant 13631008), was a follow-up to the second case (Subileus), and out of scope per INV04-GSOP-SD-GL04 Late Serious Adverse Event Escalation.&amp;nbsp;&lt;/p&gt;&lt;p&gt;&lt;br&gt;&lt;/p&gt;&lt;p&gt;There was a misunderstanding in the SAE process and how to assist sites in reporting follow-up events and adding additional information in the Pfizer SAE submission assistant (PSSA) tool by the CRA. &amp;nbsp;There was also a gap identified on how to document the issues and actions per INV04-GSOP-RF01i Issues and Actions Log Completion Instruction. &amp;nbsp;&lt;/p&gt;&lt;p&gt;&lt;br&gt;&lt;/p&gt;&lt;p&gt;Site 1363 has a documented process in place for SAE reporting. &amp;nbsp;The PI or Sub-I(s) delegated are accountable for reporting the SAEs for their own patient(s).&amp;nbsp;&lt;/p&gt;&lt;p&gt;&lt;br&gt;&lt;/p&gt;&lt;p&gt;There were no downstream impacts due to the late reported events, Pfizer Drug Safety Unit reported the SAEs to the health authorities within 24hours of their awareness.&amp;nbsp;&lt;/p&gt;&lt;p&gt;&lt;br&gt;&lt;/p&gt;&lt;p&gt;The study transitioned to the use of the PSSA Tool October 2022, which resulted in amendments of essential documents, access, training and IRB / EC approvals. Full implementation across the study was December 2022.&lt;/p&gt;</t>
  </si>
  <si>
    <t>AE reporting to Sponsor, Site Management and Monitoring</t>
  </si>
  <si>
    <t>Delayed SAE reporting, Failure to detect/document</t>
  </si>
  <si>
    <t>AEM01-Adverse Event Monitoring, INV04-Investigational Site Management and Monitoring</t>
  </si>
  <si>
    <t>Case ID (PV202300014498, PSSA 47580): PD was reported and documented in relevant report and follow up letter and site staff were retrained on requirements regarding safety reporting.Case ID (PV202400012945, PSSA 878620): PD was reported and documented in relevant report and follow up letter and site staff were retrained on requirements regarding safety reporting. Case ID (PV202400083940. PSSA 1009600): PD was reported and documented in relevant report and follow up letter and site staff were retrained on requirements regarding safety reporting"Late SAE letter" was sent by medical monitors on 11Jul2024.</t>
  </si>
  <si>
    <t>CRA misunderstanding of how to have sites update and add more information to current SAEs reports within the PSSA Tool., Site 1363 was trained on Pfizer processes; however, at the time of the events they were still new to the updated Pfizer's SAE process of submitting events in the PSSA tool in addition to the EDC. &amp;nbsp;&amp;nbsp;</t>
  </si>
  <si>
    <t>Lack of Experience/No Skills Practice or Hands-on Repetition, Not Part of Curriculum</t>
  </si>
  <si>
    <t>QE-127139</t>
  </si>
  <si>
    <t>Joanna Wojcik-Tomaszewska (C4221015-1372)</t>
  </si>
  <si>
    <t>Third instance of late SAE reporting; Several SAEs reported late by investigators:Case ID (PV202400084852, PSSA 1012637): Date of awareness: 13Jun2024, date reported: 27Jun2024Case ID (PV202400084853, PSSA 1012631): Date of awareness: 03Jun2024, date reported: 27Jun2024Case ID (PV202400084858, PSSA 1012839): Date of awareness: 13Jun2024, date reported: 27Jun2024</t>
  </si>
  <si>
    <t>GCP_Major_Jul-2024_C4221015: SAE Reporting, Safety Reporting_Wojcik-Tomaszewska, Joanna_POL</t>
  </si>
  <si>
    <t>&lt;p&gt;Product Protocol Number(s): C4221015&lt;/p&gt;&lt;p&gt;&amp;nbsp;&lt;/p&gt;&lt;p&gt;Involved Party / Country: Wojcik-Tomaszewska, Joanna/POL&lt;/p&gt;&lt;p&gt;&amp;nbsp;&lt;/p&gt;&lt;p&gt;C4221015 is an Open-Label, Multicenter, Randomized Phase 3 Study Of First Line Encorafenib Plus Cetuximab with Or without Chemotherapy Versus Standard Of Care Therapy with a Safety Lead-In of Encorafenib and Cetuximab Plus Chemotherapy in Participants with Metastatic Braf V600e-Mutant Colorectal Cancer.&amp;nbsp;&lt;/p&gt;&lt;p&gt;&amp;nbsp;&lt;/p&gt;&lt;p&gt;During a review of open queries, the medical monitor saw a query for a serious adverse event (SAE) reported on the Case Report Form (CRF) but missing in Pfizer SAE submission assistant (PSSA) tool. The site was immediately reminded to report SAE in PSSA, and it was reported the same day 27 Jun 2024 by the study coordinator (SC). &amp;nbsp;At this site 1372, three SAEs involving the same participant occurred in Jun 2024 and all were reported late. The SC responsible for SAE reporting was on medical leave since May. The site had no one assigned as back-up SC and this resulted in three SAE submissions not meeting SAE reporting timelines.&lt;/p&gt;</t>
  </si>
  <si>
    <t>Case ID (PV202400084852, PSSA 1012637): PD was reported and documented in relevant report and follow up letter and site staff were retrained on requirements regarding safety reporting.Case ID (PV202400084853, PSSA 1012631): PD was reported and documented in relevant report and follow up letter and site staff were retrained on requirements regarding safety reporting.Case ID (PV202400084858, PSSA 1012839): PD was reported and documented in relevant report and follow up letter and site staff were retrained on requirements regarding safety reporting."Late SAE letter" was sent by medical monitors on 11Jul2024.</t>
  </si>
  <si>
    <t>The principal investigator's failure to have a back-up SC or Sub-Investigator assigned and responsible for SAE reporting when the primary SC was out of the office resulted in three late SAE reports.</t>
  </si>
  <si>
    <t>Lack of or Inadequate Communication Method or Desired Results not Communicated Accurately and/or Understanding was not Verified</t>
  </si>
  <si>
    <t>QE-127600</t>
  </si>
  <si>
    <t>Failed the Effectiveness Check based on audit report for C4221015 study because site consistently failed to adhere to documenting the date and time and the signature completed by.The Effectiveness criteria is:Criteria/Threshold for Success: CAPA will be deemed effective if CTM review of the MVRs determines the CRA has appropriately identified SD issues for 90% participant SD/data reviewed.Method: For any new visits at site 1135 since the previous MV, CRA will check if the site has adhered to process and consistently mentioned the date and time along with signature in the SD. CRA will document the outcome of the review in the MVR. The CTM will review the MVRs and assess if CRA has documented SD review outcome and escalated any SD issues as appropriate. CTM will document outcome of the review.Timelines: To be checked and confirmed at each of 3 monitoring visits, commencing with the monitoring visit occurring immediately after the CAPA, i.e., retraining of the CRA on ALCOACCEA criteria and ICH requirements, is completed.</t>
  </si>
  <si>
    <t>GCP_Major_Jul-2024_C4221015: CAPA Effectiveness- Audit_Karaszewska, Boguslawa; PPD_POL</t>
  </si>
  <si>
    <t>&lt;p&gt;Product Protocol Number:&amp;nbsp;&lt;br&gt;C4221015&lt;/p&gt;&lt;p&gt;&amp;nbsp;&lt;/p&gt;&lt;p&gt;Involved Party / Country:&amp;nbsp;&lt;/p&gt;&lt;p&gt;PI: Karaszewska, Boguslawa / site 1135 / POL&lt;/p&gt;&lt;p&gt;Vendor: PPD&amp;nbsp;&lt;/p&gt;&lt;p&gt;&lt;br&gt;&lt;/p&gt;&lt;p&gt;Protocol Title:&lt;/p&gt;&lt;p&gt;An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Cancer&lt;/p&gt;&lt;p&gt;&lt;br&gt;&lt;/p&gt;&lt;p&gt;Description of the Issue:&lt;/p&gt;&lt;p&gt;Following a Pfizer routine site audit on 11-12 Jul 2023 at site 1135 in C4221015 study, the Audit CAPA effectiveness checks (EFF) related to observations regarding source data (EFF-003493) and inadequate issue detection via monitoring (EFF-003560) failed. The source data should be Attributable, Legible, Contemporaneous, Original, Accurate, Complete, Consistent, Enduring and Available (ALCOACCEA), and the site monitor should check that the site complies with these principles.&lt;/p&gt;&lt;p&gt;The audit CAPAs included re-training of site staff on ALCOACCEA principles, and retraining of Site monitor on source document acceptability and the importance of checking the site's compliance with ALCOACCEA criteria. After audit CAPA completion on 31 Oct 2023, the site continued not to comply with ALCOACCEA principles in their study documentation, as the source data was not attributable regarding Study Nurse (SN) tasks, e.g. blood draw and Investigational Medicinal Product (IMP) administration. The SNs were performing the tasks, and the tasks were documented on site's visit template or other notes, but the source data was not signed and dated by the person performing the task. The study team became aware of the issue after being notified of similar QE in another Pfizer study. The Site Monitor failed to detect the continuing ALCOACCEA issues, as evidenced by no related issues raised on monitoring visits conducted after audit CAPA completion.&amp;nbsp;&lt;/p&gt;</t>
  </si>
  <si>
    <t>CAPA Management, Data Collection and Management</t>
  </si>
  <si>
    <t>Inadequate issue evaluation, CAPA development and/or completion (eg., QE, Audit or Inspection), Inadequate source data/documentation</t>
  </si>
  <si>
    <t>No Process Assigned, QMS08-Audit Process</t>
  </si>
  <si>
    <t>PI had signed the NTF explaining that study nurse collects the blood sample and administer IMP but not signed and dated the source. This will be the process in future as well. This has been escalated back to CRA to discuss further with PI to adopt the acceptable method of documenting the sign and date by person who performed the duties.</t>
  </si>
  <si>
    <t>The PI, SN and Site Monitor mistakenly considered that the ALCOACCEA issues related to documenting SN’s tasks were solved by a Note to File created by the PI, dated 14 Jun 2023. However, the NTF only described SN tasks, not the related documentation, and the site did not correct the issue of source documents not being attributable to SN performing the tasks. It was further misunderstood that since this ALCOACCEA issue was not raised as a separate observation during the site audit on 11-12 Jul 2023, the site's practice was acceptable., The SNs were not adding their initials, signature or date in the site’s visit template where their tasks were documented, as the template did not include a dedicated place to document SN’s initials / signature and time.&amp;nbsp;</t>
  </si>
  <si>
    <t>Inadequate/Inaccurate/Confusing (Document Standard Lacking/Incorrect Standard Content)</t>
  </si>
  <si>
    <t>QE-129427</t>
  </si>
  <si>
    <t>Han Sang Kim (C4221015-1407)</t>
  </si>
  <si>
    <t>Prohibited subject identifier (subject 14071001's name in Korean) was written on lab sample tubes collected on 28Jun2024 for visit C19D1 and sent to central lab - PPD Lab.</t>
  </si>
  <si>
    <t>GCP_Minor_Jul-2024_C4221015: Participant Confidentiality_Kim, Han Sang_KOR</t>
  </si>
  <si>
    <t>PPD Lab has redacted the subject's identifier on the tubes received and discarded the tube after testing. Site was made aware of this incidence, and was reminded not to disclose subject's identifier in the future. Monitor will discuss with site on how to avoid disclosing subject's identifier in case of similar situations in the future.</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</si>
  <si>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</si>
  <si>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</si>
  <si>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</si>
  <si>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</si>
  <si>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</si>
  <si>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</si>
  <si>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</si>
  <si>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</si>
  <si>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QE-134732</t>
  </si>
  <si>
    <t>Lin Shen (C4221015-1139)</t>
  </si>
  <si>
    <t>US FDA OAI issued to Dr. Shen Lin of site Beijing Cancer Hospital after inspection on other company.</t>
  </si>
  <si>
    <t>GCP_Critical_Aug-2024_C4221015, C4251008 (SGNTUC-029): OAI and Investigator Availability Status: OAI_Shen, Lin_CHN</t>
  </si>
  <si>
    <t>&lt;p&gt;Product Protocol Number:&lt;/p&gt;&lt;p&gt;SGNTUC-029 (C4251008)&amp;nbsp;&lt;/p&gt;&lt;p&gt;C4221015&lt;/p&gt;&lt;p&gt;&lt;br&gt;&lt;/p&gt;&lt;p&gt;Involved Party / Country:&lt;/p&gt;&lt;p&gt;PI: Shen, Lin (Site Number: C4221015-1139) / CHN&amp;nbsp;&lt;/p&gt;&lt;p&gt;PI: Shen, Lin (Site Number: SGNTUC-029 (C4251008) -86001) / CHN &amp;nbsp; &amp;nbsp; &amp;nbsp; &amp;nbsp; &amp;nbsp;&amp;nbsp;&lt;/p&gt;&lt;p&gt;&lt;br&gt;&lt;/p&gt;&lt;p&gt;The TUC-029 (C4251008) study is an open-label randomized phase 3 study of tucatinib in combination with trastuzumab and mFOLFOX6 versus mFOLFOX6 given with or without either cetuximab or bevacizumab as first-line treatment for subjects with HER2+ metastatic colorectal cancer.&lt;/p&gt;&lt;p&gt;&lt;br&gt;&lt;/p&gt;&lt;p&gt;The C4221015 study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cancer.&lt;/p&gt;&lt;p&gt;&lt;br&gt;&lt;/p&gt;&lt;p&gt;On 24 Jul 2024, Dr. Lin Shen was listed as “Flagged by IQVIA Quality Assurance (QA)” following IQVIA’s awareness of a United States Food and Drug Administration (US FDA) inspection listed on the FDA Data Dashboard. The inspection was conducted on 17 Nov 2023 and resulted in an Official Action Indicated (OAI) classification for a non-Pfizer sponsor.&amp;nbsp;&lt;/p&gt;</t>
  </si>
  <si>
    <t>Jingwen Wang</t>
  </si>
  <si>
    <t>Escalate this information and report it as a QE.</t>
  </si>
  <si>
    <t>GAP ANALYSIS</t>
  </si>
  <si>
    <t>QE-135376</t>
  </si>
  <si>
    <t>For Belgium, updated Safety Information Contact (SIC) cards were not provided on time.</t>
  </si>
  <si>
    <t>GCP_Minor_Aug-2024_C4221015: Safety Information Contact (SIC)_PPD_BEL</t>
  </si>
  <si>
    <t>These are processed and provided to site</t>
  </si>
  <si>
    <t>QE-135683</t>
  </si>
  <si>
    <t>SICs (study information cards) should have been sent to sites and all patients should have received those (even long term FUP patients) until end of Jun24. None of Polish sites have received them in order to be given to patients thereafter.</t>
  </si>
  <si>
    <t>GCP_Minor_Aug-2024_C4221015: Study Information Card (SIC)_PPD INC_POL</t>
  </si>
  <si>
    <t>Local CTC requested on 30Aug24  SICs to be printed in order to be distributed to Polish sites.</t>
  </si>
  <si>
    <t>QE-136021</t>
  </si>
  <si>
    <t>Chenghui Huang (C4221015-1130)</t>
  </si>
  <si>
    <t>2 participants' tumor tissue slides swap identified during recent analytic lab testing.</t>
  </si>
  <si>
    <t>GCP_Minor_Aug-2024_C4221015: Biospecimen Management_Huang, Chenghui_CHN</t>
  </si>
  <si>
    <t>Site has investigated internally after receive the information of potential sample swap, and confirmed by sample picture and pathology number that there is swap of the 2 participants' samples. No sample issue for other participants and no issue for prescreening BRAF slides.</t>
  </si>
  <si>
    <t>QE-136460</t>
  </si>
  <si>
    <t>Arinilda Campos Bragagnoli (C4221015-1362)</t>
  </si>
  <si>
    <t>In reviewing the inventory for C4221015 at Azenta Life Sciences, it was discovered that there were 3 samples in storage from Brazil, site 1362, which was previously included in a QE submission (PR 2222007).  As documented in the previous QE, collection of Retained Research Samples was not allowed in Brazil.  The samples were collected between May-Dec 2023 ("Date occurred" below is date of the first of the three samples collected), after the previous QE was submitted.</t>
  </si>
  <si>
    <t>GCP_Minor_Sep-2024_C4221015: CMCD: Banked Biospecimen Sample Collection_Bragagnoli, Arinilda Campos_BRA</t>
  </si>
  <si>
    <t>Cheyenne Bolanos</t>
  </si>
  <si>
    <t>Samples were submitted for destruction.</t>
  </si>
  <si>
    <t>QE-137430</t>
  </si>
  <si>
    <t>&amp;lt;Description&amp;gt;・Six pharmacists B were newly added to this study on Apr 2023, but the pharmacist A forgot to create a training log and SSDDL (Signature Sheet and Delegations of Duties Log) timely manner. Basically, the PI is notified when it is ready to enter the start date on the SSDDL for newly added staffs, but pharmacist A misunderstood that the delegation for newly added pharmacists was completed and notified the PI. As a result, the PI understood that there was no problem with the delegation of additional staff, and the study related tasks were started.・The CRA received an e-mail about addition of the newly pharmacists B from the site on 03 Apr 2023. However, the CRA did not understand the necessary action to start dispensing and preparing the investigational drug for pharmacist B, so it was not followed up until the training log and delegation log were created.・When the CRA reviewed the IPAL(Investigational Product Accountability Log) and the investigational drug preparation records during on-site monitoring visit, the CRA did not notice that one of the newly added pharmacists had been working without creating a SSDDL because the pharmacist had the same initials as a pharmacist who had already been delegated in this study. The other three pharmacists had different initials from the pharmacists who were delegated, but the CRA overlooked.&amp;lt;site rule&amp;gt;・Pharmacist A send a bulk email to all CRAs involved in this site if there are changes in the pharmacists (addition/removal) or any task changes. At the same time, Pharmacist A would share the same information with the PI and SC of each study. If new pharmacists are added, Pharmacist A would give training for the new pharmacists and request the PI to create the SSDDL after the Pharmacist A receive the site specific training log template and SSDDL template from the CRA. After that, Pharmacist A would share the copy of the training log and SSDDL with the CRA. And, Pharmacist A would confirm that the delegation has been completed before the newly added pharmacists start dispensing and preparation the investigational drug for the study, by the training log and SSDDL.&amp;lt;background&amp;gt;・Four of six pharmacists who were newly added to this study on Apr 2023 performed the following tasks .  -Two pharmacists who performed the preparation of the investigational drug: 24 Nov 2023, 01 Mar 2024, 19 Mar 2024  -Two pharmacists who performed the dispensing of the  investigational drug: 18 Jun 2024, 16 Jul 2024, 20 Aug 2024・Pharmacist A had been conducting necessary training for the newly added pharmacists, but a training log was not created. Also, after the training was completed, Pharmacist A misunderstood that the delegation was completed and notified the PI. As a result, the PI understood that there was no problem with the delegation of additional pharmacists, and the study related tasks were started.・In this study, all Pharmacists B have received training from Pharmacist A and have been delegated necessary tasks by the PI since the beginning of this study. However, in other studies in this site, only Pharmacists A who is responsible for the  investigational drug related tasks receive study training, and they are listed on the SSDDL. Also, Pharmacists B are not listed on the SSDDL because they perform dispensing and preparation of the investigational drug under the control and guidance of Pharmacists A. So, Pharmacist A misunderstood that the same rule as the other studies would not be problem in this study.・Although the training log was not created, newly added pharmacists performed dispensing and preparation of the investigational drug after the necessary training for this study was conducted. So, the PI considered that this quality event did not affect the safety of the participants.・Pharmacist A timely requested the PI to update SSDDL for task changes of some pharmacists and deletion of some pharmacist who retired at the end of Mar 2023. In addition, Pharmacist A shared the copy of the updated SSDDL with the CRA on 18 Apr 2023.・The CRA received an e-mail about addition of the newly pharmacists B from the site on 03 Apr 2023. However, the CRA did not understand the necessary action to start dispensing and preparing the investigational drug for pharmacist B, so it was not followed up until the training log and delegation log were created.・When the CRA reviewed the IPAL and the investigational drug preparation records during on-site monitoring visit, the CRA did not notice that one of the newly added pharmacists had been working without creating a SSDDL because the pharmacist had the same initials as a pharmacist who had already been delegated in this study. The other three pharmacists had different initials from the pharmacists who were delegated, but the CRA overlooked.・06 Sep 2024: In Apr 2024, when the CRA received an e-mail about changes in the pharmacy staffs from the Pharmacist A, the information of delete for the pharmacists not listed on the SSDDL was shared by the site. However, the CRA planned to re-review the  investigational drug preparation record and IPAL during the next on-site visit to the pharmacy department.・The CRA confirmed that the pharmacist would be deleted when the CRA received an e-mail about the staff changes from the site, but the pharmacists were not listed on a copy of SSDDL. The CRA was aware of the possibility that SSDDL had not been created for some pharmacists. The CRA planned to review the SSDDL during the next on-site monitoring visit to confirm whether it had been created. However, during the on-site monitoring visit on 06 Sep 2024, they found that despite SSDDL not being created, some of the pharmacists had been recording in the  investigational drug preparation records and the IPAL, revealing that they had been performing the tasks of this trial.Pharmacist A: Principal Pharmacists responsible for managing the delegation of pharmacists involved in investigational drug preparation and dispensing tasks. Pharmacist B: Pharmacists involved in the practical aspects of investigational drug preparation and dispensing tasks.</t>
  </si>
  <si>
    <t>GCP_Minor_Sep-2024_C4221015: Signature Sheet and Delegations of Duties Log; Training_Esaki, Taito_JPN</t>
  </si>
  <si>
    <t>&amp;lt;Corrective Action&amp;gt;・The PI will promptly create a Training Log/SSDDL for the pharmacists who are added in Apr 2023 and currently employed.・The PI will documents the details of a pharmacist who retired at the end of March 2024 in the IPAL or SSDDL.・The PI will confirm whether the preparation and dispensing of  the investigational drug have been done properly, even though the creation of the newly added pharmacist's Training Log/SSDDL has not been completed before the tasks.・The CRA has reconfirmed the rule of pharmacist delegation at this site.・ The CRA will communicate this issue to the PI and arrange for retraining of the PI, CRCs, and pharmacists involved in the trial. The CRA will emphasize that only staff  who have completed the Delegation process should be allowed to initiate trial tasks.&amp;lt;Preventive Action&amp;gt;・The CRA confirmed that the SSDDL for staff other than pharmacists added in April 2023, was properly created and stored in the ISF.・ The site is currently considering preventive measures that will allow the operation of this trial to be confirmed at any time in the future.・The CRA collects information on the scope of delegation at each site and ensures proper handover of this information during CRAs handover.・The CRA verify the consistency between the copy of the IPAL collected from the site and the latest SSDDL.・The CRA-Line Manager/CTM shares information with the Japan regional CRAs about the necessity for the site staff to conduct appropriate training/delegation based on site operation, and to ensure that each training log/SSDDL is properly created, and to periodically check the creation status with the PI and follow up. In addition, they also need to make everyone aware of the importance of confirming through monitoring that clinical trial tasks are being performed based on delegation.・ The CRAs will communicate this issue to all other sites in Japan, reminding them of the site rules and informing them about the necessary actions to be taken in case of staff changes.・ The CRAs check again that all Japan sites are properly trained/delegated according to site rules and that the respective training logs/SSDDL are properly created and stored.</t>
  </si>
  <si>
    <t>QE-142253</t>
  </si>
  <si>
    <t>On Sep 9, 2024, Thermo Fisher Scientific PPD Lab Services Central Lab identified a concern regarding the results for samples in 3 Pfizer studies C0371002, C4221016 and C4221015. Per PPDs procedures samples are analyzed at least once during an analytical run, reviewed and deemed acceptable before releasing patient results. It was determined that a technician working on Sept 7, 2024 did not adhere to this procedure leading to the release of patient results without acceptable QC. The Lab Manager for the chemistry department at Highland Heights, KY US central lab facilities initiated a thorough investigation of all results released to date by the technician in question. Although the issue was initially identified on September 9, 2024, study and sample impact was just confirmed immediately prior to drafting the sponsor communication which was sent on Sunday, October 6, 2024. For C0371002 there are 2 impacted accessions, C4221015 17 impacted accessions, C4221016 5 impacted accessions.</t>
  </si>
  <si>
    <t>GCP_Minor_Oct-2024_Multiple Studies: Vendor Responsibilities: Sample Analysis_PPD Lab_USA</t>
  </si>
  <si>
    <t xml:space="preserve">A thorough investigation of all results was initiated. PPD is also assessing the incident for Serious Breach and Scientific Misconduct. Once the full investigation has been completed, PPD will notify Pfizer of the outcome. </t>
  </si>
  <si>
    <t>QE-143745</t>
  </si>
  <si>
    <t>The Belgium CRA inadvertently sent Clinical Trial Agreement (CTA) meant for site 1289 to site 1203 Pharmacist.</t>
  </si>
  <si>
    <t>GCP_Minor_Oct-2024_C4221015: Sponsor and/or Participant Confidentiality_PPD_BEL</t>
  </si>
  <si>
    <t>CP401</t>
  </si>
  <si>
    <t xml:space="preserve">Site immediately deleted the email including CTA. </t>
  </si>
  <si>
    <t>QE-145081</t>
  </si>
  <si>
    <t>1062, 1094</t>
  </si>
  <si>
    <t>Torben Hansen (C4221015-1094), Torben Hansen (C4221022-1062)</t>
  </si>
  <si>
    <t>Four Sub-Investigators (physicians) who are trained by PI but not on training log and  on delegation log performed protocol specific activities. The Sub-Investigators were not entered in SIP and essential documents were also not collected from them. It happened on one occasion in SEAMARK  study (C3D29 for the subject 10621001 on 23Sep2024) and on three occasions in  BREAKWATER study (C2 D15 visit on 15Jul2024 and C2D15 visit on 06Sep2024 for the subject 10941007 and C4 D15 on 09Sep2024 for the subject 10941006).</t>
  </si>
  <si>
    <t>GCP_Minor_Oct-2024_C4221022; C4221015: Training Log and Delegation of Duties_InvolvedParty_DNK</t>
  </si>
  <si>
    <t>Kiran Kumar Katakam</t>
  </si>
  <si>
    <t>SCP discussed the issue with the during oversight visit conducted on 10Oct2024. PI informed the SCP that the physicians are well trained and prepared for the subject visits during everyday morning meetings with delegated PI/Sub-I per the NTF.He also stated that the study medication used in both BREAKWATER and SEAMARK is Standard of Care treatment at site.PI also stated that they aim for delegated site staff to conduct visits (which is the case for the most visits) but will not guarantee this.</t>
  </si>
  <si>
    <t>QE-145767</t>
  </si>
  <si>
    <t>The Recruitment Tools - Site - Directed (Site Level) - Investigator Site Recruitment Plan (ISRP) was not completed during site activation.</t>
  </si>
  <si>
    <t>GCP_Minor_Oct-2024_C4221015: CMCD: Investigator Site Recruitment Plan_PPD_IND</t>
  </si>
  <si>
    <t>INV03-Study Participant Recruitment and Retention Planning</t>
  </si>
  <si>
    <t>Informed to PTMF owner that the document was not completed. PTMF owner suggested to raise QE for this as per Due Diligence process.</t>
  </si>
  <si>
    <t>QE-146546</t>
  </si>
  <si>
    <t>PFIZER, SYNEOS HEALTH LLC</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</si>
  <si>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</si>
  <si>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</si>
  <si>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&lt;p&gt;&lt;span&gt;Product Protocol Number(s):&amp;nbsp;&lt;/span&gt;&lt;/p&gt;&lt;p&gt;Multiple Protocol&lt;/p&gt;&lt;p&gt;&lt;span&gt;&amp;nbsp;&lt;/span&gt;&lt;/p&gt;&lt;p&gt;&lt;span&gt;Involved Party / Country:&lt;/span&gt;&lt;/p&gt;&lt;p&gt;&lt;span&gt;Vendor(s): Syneos/India&lt;/span&gt;&lt;/p&gt;&lt;p&gt;&lt;span&gt;Pfizer/India&lt;/span&gt;&lt;/p&gt;&lt;p&gt;&lt;span&gt;&amp;nbsp;&lt;/span&gt;&lt;/p&gt;&lt;p&gt;&lt;span&gt;Description of the Issue(s):&lt;/span&gt;&lt;/p&gt;&lt;p&gt;&lt;span&gt;India National Health Authority (NHA) requires as a condition listed in all initial India Clinical Trial Application (CTA) approvals that the central licensing authority shall be informed of ethic committee approval of initial submissions and any protocol amendment submissions within 15 working days of the grant of such approvals.&amp;nbsp;&lt;/span&gt;&lt;/p&gt;&lt;p&gt;&lt;span&gt;&amp;nbsp;&lt;/span&gt;&lt;/p&gt;&lt;p&gt;&lt;span&gt;Recently there have been delays in providing Ethics Committee (EC) approvals to the central licensing authority across several studies where site monitoring and oversight is the responsibility of our Contract Research Organization (Syneos) and where oversight is managed by Pfizer. In 2024 there have been 28 cases where approval letters were delayed.&amp;nbsp;&lt;/span&gt;&lt;/p&gt;</t>
  </si>
  <si>
    <t>Wang Ziwei</t>
  </si>
  <si>
    <t xml:space="preserve">1. We have highlighted the regulations (15w.d. to submit EC approval to India BoH from its EC approval date) to CRO and Pfizer Site Activation Partner Team, in order to deliver the EC approvals on time to CTRO team for RA submission. 2. We have gone through all the ongoing India studies to see if any EC approvals have been delayed and listed the reason of delays for analysis. 3. We have built a gate to remind oursleves of this process </t>
  </si>
  <si>
    <t>Gaps in understanding of the details of the RA requirement for EC approval submission at the monitoring, and site levels, have led to delays in receipt of India EC approval letters by Pfizer regulatory team for submission.</t>
  </si>
  <si>
    <t>Lack of or Inadequate Training Provided or Not Trained on Latest Version</t>
  </si>
  <si>
    <t>QE-153562</t>
  </si>
  <si>
    <t>US site 1155 have been closed on 28Nov2023. The ISRP (Investigator Site Recruitment Plan) document have confirmed missing. Per SOP QMS01 requirement, we need to submit the QE for review. US site 1155 did not enroll any subject. There is no impacted for this missing since we already have study level site recruitment plan.</t>
  </si>
  <si>
    <t>GCP_Minor_Dec-2024_C4221015: Investigator Site Recruitment Plan</t>
  </si>
  <si>
    <t>Hsiang-Fang Lee</t>
  </si>
  <si>
    <t>Satisfied Reason: Sponsor or sponsor representative did not follow SOP/process; document not createdReason Satisfied Notes: Please summarize what occurred, why the SOP/process was not followed, and the impact of not having the document (if any). Note: The due diligence must be performed to ensure that a QE has been submitted.</t>
  </si>
  <si>
    <t>QE-160075</t>
  </si>
  <si>
    <t>1065, 1153</t>
  </si>
  <si>
    <t>Aglaia Schiza (C4391025-1065), Peter Nygren (C4221015-1153)</t>
  </si>
  <si>
    <t>Approved - In CAPA</t>
  </si>
  <si>
    <t>Academic Laboratory lost accreditation in clinical chemistry and pharmacology.</t>
  </si>
  <si>
    <t>GCP_Major_Jan-2025_Multiple Protocols: Local Laboratory Accreditation_Akademiska Hospital Laboratory_SWE</t>
  </si>
  <si>
    <t>&lt;p&gt;Product Protocol Number(s):&amp;nbsp;&lt;/p&gt;&lt;p&gt;C3431004 (MDV310013)&lt;/p&gt;&lt;p&gt;C4221015&lt;/p&gt;&lt;p&gt;C4391025&lt;/p&gt;&lt;p&gt;&lt;br&gt;&lt;/p&gt;&lt;p&gt;Involved Party / Country:&lt;/p&gt;&lt;p&gt;Principal Investigators (PIs):&amp;nbsp;&lt;/p&gt;&lt;p&gt;Haggman, Michael / Sweden&lt;/p&gt;&lt;p&gt;Nygren, Peter / Sweden&lt;/p&gt;&lt;p&gt;Schiza, Aglaia / Sweden&lt;/p&gt;&lt;p&gt;&lt;br&gt;&lt;/p&gt;&lt;p&gt;Protocol Title(s):&lt;/p&gt;&lt;p&gt;C3431004 (MDV310013): A Phase 3, Randomized, Efficacy and Safety Study of Enzalutamide Plus Leuprolide, Enzalutamide Monotherapy, and Placebo Plus Leuprolide in Men With High-Risk Nonmetastatic Prostate Cancer Progressing After Definitive Therapy&lt;/p&gt;&lt;p&gt;&lt;br&gt;&lt;/p&gt;&lt;p&gt;C4221015: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CANCER&lt;/p&gt;&lt;p&gt;&lt;br&gt;&lt;/p&gt;&lt;p&gt;C4391025: AN INTERVENTIONAL, OPEN-LABEL, RANDOMIZED, MULTICENTER, PHASE 2 STUDY OF PF-07220060 PLUS LETROZOLE COMPARED TO LETROZOLE ALONE IN POSTMENOPAUSAL WOMEN 18 YEARS OR OLDER WITH HORMONE RECEPTOR-POSITIVE, HER2-NEGATIVE BREAST CANCER IN THE NEOADJUVANT SETTING&lt;/p&gt;&lt;p&gt;&lt;br&gt;&lt;/p&gt;&lt;p&gt;Description of the Issue(s):&amp;nbsp;&lt;/p&gt;&lt;p&gt;On 13 Jan 2025, the Swedish Board for Accreditation and Conformity Assessment (Swedac – the Swedish laboratory accreditation authority) revoked International Organization for Standardization (ISO) 15189 accreditation &amp;nbsp; &amp;nbsp;in clinical chemistry (which includes hematology analysis ) and clinical pharmacology for the Akademiska Hospital laboratory in Sweden (the local laboratory for the site for the impacted clinical trials). The C4221015 Site Monitor learned of the issue on 15 Jan 2025 through a news article posted to TT News Agency, Sweden’s national news agency . The C4221015 Site Monitor notified the Site Care Partner (SCP) on 15 Jan 2025 and the C4221015 Clinical Lead notified C4221015 Study Managers on 16 Jan 2025.&amp;nbsp;&lt;/p&gt;&lt;p&gt;Swedac cited issues at the laboratory including insufficient compliance with certain routines, delays in addressing reported deviations, the absence of necessary signatures on certain work processes, and a lack of procedures for ensuring instruments are approved for use. As of 27 Jan 2025, Akademiska Hospital had six enrolled participants in Pfizer studies – four in C3431004 (MDV310013), one in C4221015, and one in C4391025.&lt;/p&gt;&lt;p&gt;The site stated their intention to continue to use the lab while seeking to remedy the loss of accreditation with the goal of regaining accreditation in 2025.&lt;/p&gt;</t>
  </si>
  <si>
    <t>Remediation plan to be provided by site was requested by sponsor.</t>
  </si>
  <si>
    <t>Michael Haggman (C3431004-083)</t>
  </si>
  <si>
    <t>QE-161363</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</si>
  <si>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</si>
  <si>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</si>
  <si>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</si>
  <si>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&lt;p&gt;&lt;span style="font-size: small;"&gt;Product Protocol Number(s): C4971010, C1071007, C4891001&lt;b&gt;&amp;nbsp;,&amp;nbsp;&lt;/b&gt;C3441021, &amp;nbsp;C4221015, C4891018, &amp;nbsp;C3441052,&lt;/span&gt;&lt;/p&gt;&lt;p&gt;&lt;span style="font-size: small;"&gt;C1071008, C1071006, C4891002&lt;/span&gt;&lt;/p&gt;&lt;p&gt;&lt;span style="font-size: small;"&gt;&amp;nbsp;&lt;/span&gt;&lt;/p&gt;&lt;p&gt;&lt;span style="font-size: small;"&gt;Involved Party / Country: &amp;nbsp;OrigiMed/China&lt;/span&gt;&lt;/p&gt;&lt;p&gt;&lt;span style="font-size: small;"&gt;&amp;nbsp;&lt;/span&gt;&lt;/p&gt;&lt;p&gt;&lt;span style="font-size: small;"&gt;OrigiMed is a Pfizer qualified vendor to provide good clinical practice (GCP) level biomarker testing services to support the clinical trials since Dec 2018. On 20 Feb 2024, Pfizer received notification from OrigiMed vendor that they would relocate the central lab (Pujiang lab) to a new facility (Jiading Lab), the closure of Pujiang lab occurred on 30 Jun2024. The server remained at the Pujiang site. On 03 Jan 2025, two project managers (PMs) of OrigiMed in charge of Pfizer’s projects left OrigiMed without notifying Pfizer prior to leaving. On 10 Jan 2025, the translational medicine (TM) team discovered that OrigiMed’s server was forced to shut down because Origimed did not pay its campus property fees on time, which led to the inability to use the Laboratory Information Management System (LIMS) system, E-mails or retrieve backup files in a timely manner. On 15 Jan 2025, the systems on the server gradually recovered after the payment of campus property fees. The server issues were resolved, but the server has not been moved to a new site. &amp;nbsp;This unexpected event has impacted the Biomarker Bioanalytical Study Plan for ten Pfizer studies. &amp;nbsp;Based on these signals, there is concern regarding the stability of OrigiMed and potential business impact of Pfizer/OrigiMed cooperation in ongoing studies. &lt;/span&gt;&lt;/p&gt;</t>
  </si>
  <si>
    <t>Failure to develop/document/test/revise/implement a business continuity/disaster recovery plan</t>
  </si>
  <si>
    <t>CP120</t>
  </si>
  <si>
    <t>Fu Haihua</t>
  </si>
  <si>
    <t>China TM team immediately inform and escalate the issue to cross-functional team of Pfizer. No other relevant vendors are involved.China TM team immediately conduct risk assessment and mitigation plan for ongoing projects. Total 11 executed WO from 10 Onco assets are impacted by this event. These projects are categorized into three risk levels based on whether the biomarker testing in OrigiMed was conducted in the main study or exploratory study and the sampling status. The mitigation plan included a requirement that OrigiMed test samples and transfer data as soon as possible after the server issues were resolved and deliver inspection-related files to Pfizer for backup, for some projects, we plan to change vendor.On 23 Jan 2025, China TM team had an on-site visit to OrigiMed to check the lab situation, Pfizer clinical samples, and discuss with new PM, and mainly focus on the file/information backup and business continuity for OrigiMed cooperation with Pfizer. The server issue has been resolved this moment. OrigiMed promised they will have a broader/longer term solution for server.</t>
  </si>
  <si>
    <t>Due to non-payment of property fees, the OrigiMed server at the Pujiang lab went offline for five days resulting in the inability to use the LIMS system, email or retrieve back up files.</t>
  </si>
  <si>
    <t>QE-161499</t>
  </si>
  <si>
    <t>10005, 10008, 10013, 10014, 10018, 1003, 10031, 10038, 10039, 1005, 1008, 1009, 1031, 1062, 1073, 1258, 1269</t>
  </si>
  <si>
    <t>Alex Adjei (C4761001-1031), Anjali Advani (C5781001-10014), Dale Shepard (C4901001-1005), Deepa Jagadeesh (C5811001-10005), Faiz Anwer (C1071006-1269), Halle Crile Foster Moore (C4251007-10013), Joseph Wooley (C5421001-1008), Louis Williams (C1071007-1258), Louis Williams (C1071032-1009), Megan Kruse (C5731006-1062), Nathan Pennell (C5751002-10018), Nathan Pennell (C5751002-10038), Nathan Pennell (C5751002-10039), Peter Rose (C5721002-10031), Peter Rose (C5721005-1003), Shilpa Gupta (C5701003-10008), Smitha Krishnamurthi (C4221015-1073)</t>
  </si>
  <si>
    <t>Training Process: Cleveland Clinic does not use Pfizer Clinician Approved Study Training Materials except for SIV/Initial Protocol Training. Their process does not require for site staff to train on any Pfizer provided materials/trainings outside of Protocol Amendments after initial SIV. Study has been operating for over a year without documentation of specific study trainings: IP Handling Training, Lab Sample Training, e-Diary Training and Pfizer required trainings: Safety Site Training Module, Suspected Serious Breach Training. Site documents self-training on Protocol Amendments via voting/email replies on actual protocol document only. Site is amenable to filing/making all training materials available to site staff, but will not require/document training on them. Site confirmed they will not be able to meet compliance with Pfizer requirements and cannot change their policies. This affects the following oncology studies ongoing with Cleveland Clinic: C4761001 (Site 1031), C4901001 (Site 1005), C1071007 (Site 1258), C5421001 (Site 1008), and C1071032 (Site 1009). This was initially reported under QE-148258 and QE-121436 and confirmed with CT-33 BPO that site process will not meet Pfizer requirements and CMCD exception cannot be granted due to the site's lack of documentation.</t>
  </si>
  <si>
    <t>GCP_Major_Jan-2025_Multiple Studies: CT33 Study Training_Cleveland Clinic; Multiple PIs_USA</t>
  </si>
  <si>
    <t>&lt;p&gt;&lt;b&gt;Product Protocol Number(s), involved Party and Site Number:&lt;/b&gt;&lt;/p&gt;&lt;p&gt;See table at bottom of Summary of the twelve (12) studies included in scope&lt;/p&gt;&lt;p&gt;&lt;br&gt;&lt;/p&gt;&lt;p&gt;&lt;b&gt;Involved Party / Country:&amp;nbsp;&lt;/b&gt;&lt;/p&gt;&lt;p&gt;Country: USA&lt;/p&gt;&lt;p&gt;&lt;br&gt;&lt;/p&gt;&lt;p&gt;&lt;b&gt;Description:&amp;nbsp;&lt;/b&gt;&lt;/p&gt;&lt;p&gt;Pfizer’s procedural requirements for training documentation are outlined in CT33-GSOP. &amp;nbsp;Summarize here for concision, CT33 requires the following:&lt;/p&gt;&lt;ul&gt;&lt;li&gt;Study team members and site staff must be trained in the protocol and Good Clinical Practices (GCP), as required per the study training plan, throughout their participation in the study&lt;/li&gt;&lt;li&gt;Study training must be completed in accordance with study specific role training requirements&lt;/li&gt;&lt;li&gt;Study training materials must accurately reflect the protocol specific procedures, study characteristics and other requirements&lt;/li&gt;&lt;li&gt;Individual study training records must be a complete and accurate reflection of the training that was delivered or taken and must be retrievable.&lt;/li&gt;&lt;li&gt;Documents generated and/or collected as required by the SOP that meet the definition of a Trial Master File (TMF) document per CT01-GSOP Trial Master Files must be prepared and filed in the TMF in a timely manner after the document is confirmed final and ready for use.&lt;/li&gt;&lt;/ul&gt;&lt;p&gt;&lt;br&gt;&lt;/p&gt;&lt;p&gt;Cleveland Clinic is an established institution in Ohio, USA, with a large oncology division: the Taussig Cancer Institute. &amp;nbsp;The Taussig Cancer Institute operates with above-study policies including a policy for training and training documentation. The above-study policy outlines required training and training which the institution deems “ancillary”, which is not required.&amp;nbsp;&lt;/p&gt;&lt;p&gt;&lt;br&gt;&lt;/p&gt;&lt;p&gt;As part of standard monitoring practices, Pfizer study team members have been unable to identify documentation of completed training which is required per Pfizer definition but which is deemed ancillary by the institution’s definition.&lt;/p&gt;&lt;p&gt;&lt;br&gt;&lt;/p&gt;&lt;p&gt;An historical review was conducted of Quality Events in the eQMS database to identify QEs that meet the following search criteria:&lt;/p&gt;&lt;p&gt;Keywords: CT33&lt;/p&gt;&lt;p&gt;Timeframe: 01 DEC 2023 - 17 DEC 2023&lt;/p&gt;&lt;p&gt;Each historical QE was reviewed along with the QE Details, Root Causes, and Corrective and Preventive Actions. Through this review, it was concluded that the current QE QE-161499 is not a repeat occurrence.&lt;/p&gt;&lt;p&gt;&lt;br&gt;&lt;/p&gt;&lt;p&gt;&lt;br&gt;&lt;/p&gt;&lt;p&gt;&lt;u&gt;Study Number &amp;nbsp;/ Title of Protocol &amp;nbsp;/ &amp;nbsp;Site &amp;nbsp;/ &amp;nbsp;Principal Investigator (PI)&lt;/u&gt;&lt;/p&gt;&lt;ol&gt;&lt;li&gt;C1071007 (Alias: MagnetisMM-7) &amp;nbsp;/ &amp;nbsp;A RANDOMIZED, 2-ARM, PHASE 3 STUDY OF ELRANATAMAB (PF-06863135) VERSUS LENALIDOMIDE IN PATIENTS WITH NEWLY DIAGNOSED MULTIPLE MYELOMA AFTER UNDERGOING AUTOLOGOUS STEM-CELL TRANSPLANTATION &amp;nbsp;/ &amp;nbsp;1258 &amp;nbsp;/ &amp;nbsp;Williams, Louis&lt;/li&gt;&lt;li&gt;C1071032 (Alias: MagnetisMM-32) &amp;nbsp;/ &amp;nbsp;A PHASE 3, OPEN-LABEL STUDY OF ELRANATAMAB MONOTHERAPY VERSUS ELOTUZUMAB, POMALIDOMIDE, DEXAMETHASONE (EPd) OR POMALIDOMIDE, BORTEZOMIB, DEXAMETHASONE (PVd) OR CARFILZOMIB, DEXAMETHASONE (Kd) IN PARTICIPANTS WITH RELAPSED/REFRACTORY MULTIPLE MYELOMA WHO R &amp;nbsp;/ &amp;nbsp;1009 &amp;nbsp;/ &amp;nbsp;Williams, Louis&lt;/li&gt;&lt;li&gt;C4221015 &amp;nbsp;/ &amp;nbsp;AN OPEN-LABEL, MULTICENTER, RANDOMIZED PHASE 3 STUDY OF FIRST-LINE ENCORAFENIB PLUS CETUXIMAB WITH OR WITHOUT CHEMOTHERAPY VERSUS STANDARD OF CARE THERAPY WITH A SAFETY LEAD-IN OF ENCORAFENIB AND CETUXIMAB PLUS CHEMOTHERAPY IN PARTICIPANTS WITH METASTATIC &amp;nbsp;BRAF V600E- MUTANT COLORECTAL CANCER &amp;nbsp;/ &amp;nbsp;1073 &amp;nbsp;/ &amp;nbsp;Krishnamurthi, Smitha&lt;/li&gt;&lt;li&gt;C4251007 &amp;nbsp;/ &amp;nbsp;A randomized, double-blind, phase 3 study of tucatinib or placebo in combination with trastuzumab and pertuzumab as maintenance therapy for metastatic HER2+ breast cancer (HER2CLIMB-05) &amp;nbsp;/ &amp;nbsp;10013 &amp;nbsp;/ &amp;nbsp;Moore, Halle Crile Foster&lt;/li&gt;&lt;li&gt;C4761001 (Alias: BRAF Class 2) &amp;nbsp;/ &amp;nbsp;A PHASE 1, OPEN-LABEL, DOSE ESCALATION AND DOSE EXPANSION STUDY TO EVALUATE THE SAFETY, TOLERABILITY, PHARMACOKINETICS, AND ANTI TUMOR ACTIVITY OF PF-07799933 (ARRY-440) AS A SINGLE AGENT AND IN COMBINATION THERAPY IN PARTICIPANTS 16 YEARS AND OLDER WITH ADVANCED SOLID TUMORS &amp;nbsp; / 1031 &amp;nbsp;/ &amp;nbsp;Adjei, Alex A&lt;/li&gt;&lt;li&gt;C4901001 &amp;nbsp;/ &amp;nbsp;A PHASE 1A/B OPEN-LABEL MASTER STUDY OF PF-07799544 AS A SINGLE-AGENT AND IN COMBINATION WITH OTHER TARGETED AGENTS IN PARTICIPANTS WITH BRAF-MUTANT MELANOMA AND OTHER SOLID TUMORS &amp;nbsp;/ &amp;nbsp;1005 &amp;nbsp;/ &amp;nbsp;Shepard, Dale&lt;/li&gt;&lt;li&gt;C5421001 &amp;nbsp;/ &amp;nbsp;A Phase 1 Open-Label Study of PF-07934040 as a Single Agent and in Combination with Other Targeted Agents in Participants with Advanced Solid Tumors Harboring Mutations in the KRAS Gene &amp;nbsp;/ &amp;nbsp;1008 &amp;nbsp;/ &amp;nbsp;Wooley, Joseph&lt;/li&gt;&lt;li&gt;C5701003 &amp;nbsp;/ &amp;nbsp;An open-label, randomized, controlled phase 3 study of enfortumab vedotin in combination with pembrolizumab versus chemotherapy alone in previously untreated locally advanced or metastatic urothelial cancer &amp;nbsp;/ &amp;nbsp;10008 &amp;nbsp;/ &amp;nbsp;Gupta, Shilpa&lt;/li&gt;&lt;li&gt;C5721002 &amp;nbsp;/ &amp;nbsp;A Randomized, Open-Label, Phase 3 Trial of Tisotumab Vedotin vs Investigator’s Choice Chemotherapy in Second- or Third-Line Recurrent or Metastatic Cervical Cancer &amp;nbsp; / 10031 &amp;nbsp;/ &amp;nbsp;Rose, Peter Graham&lt;/li&gt;&lt;li&gt;C5721005 &amp;nbsp;/ &amp;nbsp;A PROSPECTIVE LOW-INTERVENTIONAL PHASE 4 SINGLE ARM STUDY OF OCULAR ASSESSMENTS IN PATIENTS TREATED WITH TIVDAK® IN RECURRENT OR METASTATIC CERVICAL CANCER &amp;nbsp;/ 1003 &amp;nbsp;/ &amp;nbsp;Rose, Peter Graham&lt;/li&gt;&lt;li&gt;C5751002 &amp;nbsp;/ &amp;nbsp;A randomized, phase 3, open-label study to evaluate sigvotatug vedotin compared with docetaxel in adult participants with previously treated non-small cell lung cancer (Be6A Lung-01) &amp;nbsp; / 10018, 10038 &amp;nbsp;/ &amp;nbsp;Pennell, Nathan Adam&lt;/li&gt;&lt;li&gt;C5781001 &amp;nbsp;/ &amp;nbsp;A Phase 1 Study of SEA-CD70 in Myeloid Malignancies &amp;nbsp;/ &amp;nbsp;10038 &amp;nbsp;/ &amp;nbsp;Advani, Anjali Sunder&lt;/li&gt;&lt;/ol&gt;&lt;p&gt;&lt;br&gt;&lt;/p&gt;</t>
  </si>
  <si>
    <t>Personnel inadequately trained to perform their assigned job function</t>
  </si>
  <si>
    <t>Rachel Bayer</t>
  </si>
  <si>
    <t>SCP opened QE upon reviewing training records during first site management visit on C4761001 - Site 1031. SCP met with CT-33 BPO to address concerns - guidance suggested re-opening QE for institution as a whole. CT33 BPO confirmed process will not meet requirements and is insufficient for a CMCD exception to be granted. SCP met with Cleveland Clinic at above-study level and institution confirmed policy is sufficient per GCP/FDA training requirements and they will not adapt policies to accommodate sponsor policy; therefore, no CAPA can be put in place with site at this time.</t>
  </si>
  <si>
    <t>The institutional policy for training date 21 NOV 2023 at Cleveland Clinic Taussig Cancer Institute does not align with Pfizer procedural requirements as outlined in CT33.</t>
  </si>
  <si>
    <t>Inconsistent with Pfizer Requirements (Document Standard Lacking/Incorrect Standard Content)</t>
  </si>
  <si>
    <t>QE-162060</t>
  </si>
  <si>
    <t>.25in; text-align: left;"C4221015 CSR•BRAF mutation status is a biomarker endpoint measured at screening It was discovered that its values on patients not dosed were treated as “not available” regardless of actual mutation status (positive/negative/not available) in the outputs which results in minimal changes to the output if the analysis is performed on their actual mutation status.</t>
  </si>
  <si>
    <t>GCP_Minor_Jan-2025_C4221015: CSR: Tables Listings and Figures_Pfizer_Global</t>
  </si>
  <si>
    <t>To be addressed via a CSR errata</t>
  </si>
  <si>
    <t>QE-165277</t>
  </si>
  <si>
    <t>1359, 44012</t>
  </si>
  <si>
    <t>David Cunningham (C4221015-1359), David Cunningham (C4251008-44012)</t>
  </si>
  <si>
    <t>Due Diligence Finding Two Sub Is at ongoing site with relinquished medical licenses and are not authorized to practice medicine.  Sub Is in UK must hold active medical license (MD/Nurse etc).  C4221015_1359 and SGNTUC-029_44012.  Previous DD 6 months ago license were active.</t>
  </si>
  <si>
    <t>GCP_Major_Feb-2025_C4221015, C4251008: Investigator Availability Status_Delegation Log_Cunningham, David_GBR</t>
  </si>
  <si>
    <t>&lt;p&gt;Product Protocol Number: C4221015 &amp;amp; C4251008&lt;/p&gt;&lt;p&gt;&lt;br&gt;&lt;/p&gt;&lt;p&gt;Involved Party / Country:&lt;/p&gt;&lt;p&gt;Jones, Lauren (Site Number: C4221015-1359; C4251008-44012) / United Kingdom&lt;/p&gt;&lt;p&gt;Crespi, Veronica (Site Number: C4221015-1359; C4251008-44012) / United Kingdom&lt;/p&gt;&lt;p&gt;Cunningham, David (Site Number: C4221015-1359; C4251008-44012) / United Kingdom)&lt;/p&gt;&lt;p&gt;&lt;br&gt;&lt;/p&gt;&lt;p&gt;C4221015 is an open-label randomized phase 3 study of Tucatinib in combination with Trastuzumab and mFOLFOX6 versus mFOLFOX6 given with or without either Cetuximab or Bevacizumab as first-line treatment for subjects with HER2+ metastatic colorectal cancer.&lt;/p&gt;&lt;p&gt;&lt;br&gt;&lt;/p&gt;&lt;p&gt;C4251008 is an open-label randomized phase 3 study of Tucatinib in combination with Trastuzumab and mFOLFOX6 versus mFOLFOX6 given with or without either Cetuximab or Bevacizumab as first-line treatment for subjects with HER2+ metastatic colorectal cancer.&lt;/p&gt;&lt;p&gt;&lt;br&gt;&lt;/p&gt;&lt;p&gt;A perpetual Due Diligence (DD) check for Dr. Veronica Crespi (Person ID: 6173609) and Dr. Lauren Jones (Person ID: 6172110) was performed on 14 Feb 2025 by the Pfizer DD Team. At the time of the check, both individuals were listed as active Sub Investigators associated with the ongoing C4221015 (site 1359) and C4251008 (site 44012) studies in the United Kingdom (UK). The DD check found that neither Sub-I had a valid UK medical license. To qualify as a Sub-I in the UK, an individual must hold an active medical license (MD/nurse, etc.).&lt;/p&gt;&lt;p&gt;&lt;br&gt;&lt;/p&gt;&lt;p&gt;Dr. Crespi has an active Italy medical license on file. Dr. Jones does not have other medical licenses on file.&lt;/p&gt;&lt;p&gt;&lt;br&gt;&lt;/p&gt;&lt;p&gt;Per the GMC-uk.org website, Dr. Crespi’s registration ended 11 Oct 2024 due to an ‘Administrative Reason’ and Dr. Jones’ registration ended 28 Jan 2025 due to ‘Having relinquished registration’. Further detail about/explanation of Dr. Crespi’s ‘administrative reason’ and Dr. Jones’s medical license relinquishment is unavailable to the study team/Pfizer.&lt;/p&gt;&lt;p&gt;&lt;br&gt;&lt;/p&gt;&lt;p&gt;Upon follow-up with sites 1359 and 44012 after initiation of this quality event, it was confirmed that both Drs. Crespi and Jones left the institution at which the C4221015 and C4251008 studies were being conducted in good standing while their UK medical license was still valid. No derogatory marks were found.&amp;nbsp;&lt;/p&gt;&lt;p&gt;&lt;br&gt;&lt;/p&gt;&lt;p&gt;Dr. Crespi was involved in the C4221015 study, but not in the C4251008 study, having departed the institution on 01 Mar 2024, prior to the 14 Jun 2024 Site Initiation Visit (SIV) for the C4251008 study.&lt;/p&gt;&lt;p&gt;&lt;br&gt;&lt;/p&gt;&lt;p&gt;Dr. Jones was involved in both the C4221015 and C4251008 studies and departed the institution on 13 Dec 2024.&lt;/p&gt;&lt;p&gt;&lt;br&gt;&lt;/p&gt;</t>
  </si>
  <si>
    <t>Other</t>
  </si>
  <si>
    <t>Quality Procedures, Training &amp; Qualifications</t>
  </si>
  <si>
    <t>Failure to use adequate controls (e.g., Required Forms, templates), Personnel inadequately trained to perform their assigned job function</t>
  </si>
  <si>
    <t>INV02-Investigational Site Selection, Preparation, and Initiation, No Process Assigned</t>
  </si>
  <si>
    <t>Kathleen Heinz</t>
  </si>
  <si>
    <t xml:space="preserve">Due Diligence report completion currently on hold.  </t>
  </si>
  <si>
    <t>Due to a workload commensurate with the institution being one of the largest cancer centers in the UK, as well as being a teaching hospital that generally appoints only a six-month rotation to junior doctors (Sub-Is), the administrative tasks of performing timely update to the SSDDL and notification to Sponsor of staff changes were not considered by the R&amp;amp;D Project Manager/Study Coordinators or the PI to be a priority in relation to other non-administrative responsibilities of both study and non-study designation.</t>
  </si>
  <si>
    <t>Desired Results are/or are Perceived to be in Conflict with Other Priorities</t>
  </si>
  <si>
    <t>QE-171580</t>
  </si>
  <si>
    <t>GCP_Minor_Mar-2025_C4221015: CMCD: Investigator Site Recruitment Plan_PPD_DEU</t>
  </si>
  <si>
    <t>QE-173011</t>
  </si>
  <si>
    <t>Niall Tebbutt (C4221015-1233)</t>
  </si>
  <si>
    <t>Site 1233 of C4221015 study reported that a pharmacist, who no longer works at this site, received on 18Mar2025 the IVRS visit confirmation of the study with her new email address at the new workplace. The IVRS visit confirmation document is attached. Site suspected that it is due to SIP, and has submitted a deactivation request in SIP on the same day (18Mar2025)</t>
  </si>
  <si>
    <t>GCP_Minor_Apr-2025_C4221015: System Access Control_Tebbutt, Nial_AUS</t>
  </si>
  <si>
    <t>CP403</t>
  </si>
  <si>
    <t>The ex-pharmacist study accesses have all been removed on 18Mar2025.</t>
  </si>
  <si>
    <t>QE-176839</t>
  </si>
  <si>
    <t>Dariusz Sawka (C4221015-1335)</t>
  </si>
  <si>
    <t>An effectiveness check (EFF-004785) for Finding number QE-072065 of audit (ID AIA-001249) related to deviations from protocol was deemed as unsuccessful. The site has not accomplished to adhere to protocol and have minimal deviations. Site continued deviating for many procedures (PKs, central lab samples, ECGs, questionnaires) for period under scope. Site still deviates for many procedures (central lab samples, imaging schedule, IP assignment).</t>
  </si>
  <si>
    <t>GCP_Major_Apr-2025_C4221015: Audit CAPA Effectiveness Check: Protocol Compliance_Sawka, Dariusz_POL</t>
  </si>
  <si>
    <t>&lt;p&gt;Product Protocol Number: C4221015&lt;/p&gt;&lt;p&gt;&lt;br&gt;&lt;/p&gt;&lt;p&gt;Involved Party / Site Number (if applicable) / Country:&lt;/p&gt;&lt;p&gt;PI: Sawka, Dariusz (Site Number: 1335) / Poland&lt;/p&gt;&lt;p&gt;&lt;br&gt;&lt;/p&gt;&lt;p&gt;Protocol Title(s):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cancer.&lt;/p&gt;&lt;p&gt;&lt;br&gt;&lt;/p&gt;&lt;p&gt;Description of Issue(s):&lt;/p&gt;&lt;p&gt;An effectiveness check (EFF-004785) for Audit CAPA QE-072065 associated with audit (ID AIA-001249) was deemed unsuccessful. The site failed to adhere to protocol and continued to deviate in several procedures, including Pharmacokinetics (PK), central lab samples, ECGs, and questionnaires, during the period under scope. Deviations persisted in procedures such as central lab samples, imaging schedules, and IP assignments.&lt;/p&gt;&lt;p&gt;&lt;br&gt;&lt;/p&gt;&lt;p&gt;Additionally, Investigative Product Accountability Log (IPAL) and Investigative Product (IP) preparation forms have not been completed by pharmacists since September 2024. The only documentation found in the pharmacy binder includes IP Interactive Web Response System (IWRS) release documentation, IP shipment-related documents, and temperature logs. Information regarding the time of administration and dose administered is recorded only on source records, with no mention of IP kits or documentation of IP dilutions.&lt;/p&gt;&lt;p&gt;&lt;br&gt;&lt;/p&gt;</t>
  </si>
  <si>
    <t>Study/Program/Activity ended and issue does not impact other studies/programs/activities</t>
  </si>
  <si>
    <t>Site was retrained many times for study procedures, local Pfizer was involved, issues escalated to PI.</t>
  </si>
  <si>
    <t>Human Performance – Omission Error- Process to remember lacking. The site had insufficient training or communication about the need to follow protocol requirements instead of usual clinical practices, Human Performance- Decision Error – Balance and awareness of consequence for not completing queries did not drive the correct decisions.&amp;nbsp;, Lack of PI oversight – The PI has failed to make necessary changes to staff duties to ensure completion of the ePRO data.&amp;nbsp;, There was a lack of PI oversight – the PI failed to stress the importance of timely and accurate documentation of lab samples to site staff., There was a lack of understanding by the site around the Pfizer approval process for Computer Assisted Text Organization (CATO). Further, the site may not have been aware of the requirement to obtain approval prior to switching to CATO.</t>
  </si>
  <si>
    <t>Human Performance, Personnel</t>
  </si>
  <si>
    <t>Decision Error, Lack of or Inadequate Oversight, Omission Error</t>
  </si>
  <si>
    <t>Consequences of Decision Was not Known/Understood - Impact of Deviations/Variance in Process/Task not Known, Inadequate Information for Determination, Issue caused by inadequate oversight of personnel performing a task/job., Process to Remember Inadequate</t>
  </si>
  <si>
    <t>QE-177342</t>
  </si>
  <si>
    <t>Camilla Qvortrup (C4221015-1344)</t>
  </si>
  <si>
    <t>Site 1344 have refused to complete the new Pfizer Suspected Serious Breach Training that was roled out to all relevant site staff in Firecrest on 18Dec2024.</t>
  </si>
  <si>
    <t>GCP_Minor_Apr-2025_C4221015: CMCD: Study Specific Training_Qvortrup, Camilla_DNK</t>
  </si>
  <si>
    <t xml:space="preserve">The site informed the CRA of this and it was escalated to the PPD Clinical Team Manager and Pfizer Study Managers. At that stage there was discussion about if we could accept the sites training.  The CRA reviewed the sites training material and cofirmed that the staff are adequately trained and it matches the Pfizer training content. However Pfizer confirmed after discussion with the Business Process Owners that we are not able to accept sites own training; the Pfizer one is mandatory. CRA, Pfizer Site Relationship Partner and the PI had a meeting on 29Apr25.  Despite attempts to explain to the PI why this training is mandatory, they still refuse to do it.  They have documented their process in a Note to File and the CRA will file evidence of all discussion in PTMF.  As this is non conformance to an SOP, study team agreed that a QE should be reported.  </t>
  </si>
  <si>
    <t>QE-177554</t>
  </si>
  <si>
    <t>The update FDA 1572 form did not submit to Pfizer, include two version date, 30Oct2024 and 11Aug2023.</t>
  </si>
  <si>
    <t>GCP_Minor_Apr-2025_C4221015: Essential Documents: Form FDA 1572_Lenz, Heinz-Josef; Pfizer_USA</t>
  </si>
  <si>
    <t>CAPA Management, Document Management</t>
  </si>
  <si>
    <t>Document filed late, Inadequate issue evaluation, CAPA development and/or completion (eg., QE, Audit or Inspection)</t>
  </si>
  <si>
    <t xml:space="preserve">Because the previous CRA inadvertently did not submit the updated 1572 to the SAP for version date, 30Oct2024. Also, the previous version date, 11Aug2023 did not submit by site staff as well too. In future, we need to make sure site send the document to CRA, CRA will need to keep all study team members in loop, include aCRA, CTC, and CTM. </t>
  </si>
  <si>
    <t>QE-177849</t>
  </si>
  <si>
    <t>1074, 1344</t>
  </si>
  <si>
    <t>Camilla Qvortrup (C4221015-1344), Camilla Qvortrup (C4221022-1074)</t>
  </si>
  <si>
    <t>This QE for C4221022 site 1074 is in parallel to the QE reported for C4221015 site 1344.The PI refuses to have the Suspected Serious Breach training module. This was discussed on several Site phone contacts i.e. 28Jan25, 24Feb25, 21Mar25, 22Apr25 and finally on 29Apr25.</t>
  </si>
  <si>
    <t>GCP_Minor_May-2025_C4221022; C4221015: Study Training: SB Training_Qvortrup, Camilla_DNK</t>
  </si>
  <si>
    <t>Ronald Macwan</t>
  </si>
  <si>
    <t>Site has provided a NTF documenting the departmental training completionCRA has reviewed the provided departmental training to confirm it covers the content of Pfizer's Serious Breach training. SCP has been involved in escalated discussion with the site team</t>
  </si>
  <si>
    <t>QE-178107</t>
  </si>
  <si>
    <t>PPD Laboratories</t>
  </si>
  <si>
    <t>C4221015 study has the 3rd batch of sample exportation completed by this Feb, which including 22 tubes of whole blood.  When the PPD Sample Management staff prepared the samples for shipping, sample 1GN37769414 was incorrectly packed and shipped to PERSONALIS Lab, while sample 1GN38072659 was left at PPD. Discrepancy identified by Personalis when they received the samples. QE was reported by PPD in Thermofisher system, but requested to be tracked in Pfizer quality system now.</t>
  </si>
  <si>
    <t>GCP_Minor_May-2025_C4221015: Biospecimen Sample Management_PPD Lab_CHN</t>
  </si>
  <si>
    <t>1.Pfizer team contact PPD to dig out the reason why this issue happen and QE had been reported in PPD system.2. Incorrect tube of sample was requested to be discarded by Personalis, and new HGR application was submitted to have the remaining 1 sample to be exported.</t>
  </si>
  <si>
    <t>QE-179661</t>
  </si>
  <si>
    <t>7/57 (12%) Sub-I for 1 site missing from CSR appendices, since 2023</t>
  </si>
  <si>
    <t>GCP_Minor_May-2025_C4221015: Clinical Study Report (Appendices)_PPD, Inc_USA</t>
  </si>
  <si>
    <t>Quality Oversight/Documentation, Quality Procedures</t>
  </si>
  <si>
    <t>Inadequate quality documentation, Requirement/process not met</t>
  </si>
  <si>
    <t>DMB10-Clinical Study Report, QMS05-Quality Control Review of Clinical Content of Components or Documents</t>
  </si>
  <si>
    <t>Cherilynn Lombardi</t>
  </si>
  <si>
    <t xml:space="preserve">Collection of documents and updating CTMS is in progress.  Study team and submissions team met today to discuss impact of past CSRs (Errata) and upcoming timelines to current CSR submission to ensure inclusion of the SubIs.  </t>
  </si>
  <si>
    <t>QE-180894</t>
  </si>
  <si>
    <t>Eduardo Polo Marques (C4221015-1036)</t>
  </si>
  <si>
    <t>Delay of CTMS update with new Sub Investigator data - site 1036 (Spain).</t>
  </si>
  <si>
    <t>GCP_Minor_May-2025_C4221015: CMCD: Essential Documents; Investigator Registration_Polo Marques, Eduardo; PPD, INC_ESP</t>
  </si>
  <si>
    <t>Failure to detect or document issue (quality control), Inadequate quality documentation, Requirement/process not met</t>
  </si>
  <si>
    <t>CT27-Corporate Clinical Trials Registry, INV04-Investigational Site Management and Monitoring</t>
  </si>
  <si>
    <t>Malgorzata Bialas</t>
  </si>
  <si>
    <t xml:space="preserve">- Collection of personal documents and update of CTMS and PTMF was completed on 20May25. - During the QC of collected personal documents inconsistency between SI name in CTMS and CV had been identified.  Ticket #IM45589999 had been created, and issue was resolved on 20May25  - ODR report refresh with corrected SI name was completed on 21May25.- Study team and submission team met on 20/21May25 to discuss potential impact on current CSR submission - the risk was mitigated as all required steps have been completed. As a part of the CAPA PPD was requested to verify consistency between SSDL and Siebel for all sites. Due date for this activity is 27May25. All identified inconsistencies will be registered as new QE. </t>
  </si>
  <si>
    <t>QE-184163</t>
  </si>
  <si>
    <t>DMB08 GSOP RF02 data review tracking log for study management was not completed at start of data review period beginning, 21JAN2021 through April 2023</t>
  </si>
  <si>
    <t>GCP_Minor_Jun-2025_C4221015: Data Review Tracking_Pfizer_Multiple Countries</t>
  </si>
  <si>
    <t xml:space="preserve">Verified through working documents that the SM assigned listings were being reviewed just not documented in log.  Submitted this QE and informed Japan inspection team that all available logs have been provided and that there is a gap in documentation from 2021 to 2023.  </t>
  </si>
  <si>
    <t>QE-186238</t>
  </si>
  <si>
    <t>For C4221015 study, ISRP not completed for site 1272.</t>
  </si>
  <si>
    <t>GCP_Minor_Jun-2025_C4221015: Investigator Site Recruitment Plan (ISRP)_PPD_DEU</t>
  </si>
  <si>
    <t>Can't be completed now as it doesn't not make sense since recruitment is over.</t>
  </si>
  <si>
    <t>QE-186817</t>
  </si>
  <si>
    <t>DHL EXPRESS (USA) INC, PPD, INC.</t>
  </si>
  <si>
    <t>Study C4221015: Ambient temperature samples that were shipped via DHL courier from Belgium site 1121 to PPD Central Lab in Belgium  were damaged during warehouse handling. Both packaging and samples were affected. Local team was unable to repack the shipment. The shipment will be disposed.</t>
  </si>
  <si>
    <t>GCP_Minor_Jun-2025_C4221015: Biospecimen Sample Management: Shipment_DHL; PPD_BEL</t>
  </si>
  <si>
    <t>Jeanette Joanes</t>
  </si>
  <si>
    <t xml:space="preserve"> PPD Central Lab has opened an investigation.</t>
  </si>
  <si>
    <t>QE-187772</t>
  </si>
  <si>
    <t>While preparing for the 3rd CSR and submission for the C4221015 study, the team became aware of investigators that were not in CTMS and thus not disclosed in earlier CSR/submissions.  A full reconciliation of site SSDDL and CTMS has been completed, and impact has been assessed for each CSR and submission with up to 39 investigators omitted across 9 countries and 14 sites.</t>
  </si>
  <si>
    <t>GCP_Minor_Jun-2025_C4221015: Clinical Study Report (CSR) and Sub-Is_PPD; Pfizer_Multiple Countries</t>
  </si>
  <si>
    <t>Inadequate quality and accuracy (post-submission)</t>
  </si>
  <si>
    <t>CRAs were instructed to collect all SSDDLs and reconcile with CTMS.  Team is continuing with the 3rd regulatory submission and needs to decide when to report the omitted sub-Investigators.</t>
  </si>
  <si>
    <t>QE-187995</t>
  </si>
  <si>
    <t>In Investigation</t>
  </si>
  <si>
    <t>OrigiMed is a Pfizer qualified vendor to provide GCP level biomarker testing services to support the clinical trials since Dec 2018. On Jan 10th 2025, OrigiMed’s server was forced to shut down due to not paying campus property fees on time and restored on after the bills paid on Jan 15th2025. On Jun25th 2025, OrigiMed issued notice that the server was forced to shut down again, server housed within the facility have been temporarily disconnected, impacting the email systems (historical emails access), Data transfers (internal/external), Data retrieval/access (BAR or BAP draft). The same reason as the previously incident (QE-161363) that Origimed didn’t not pay campus property fees on time.On Jun 18th 2025, we saw a message via public channels that an administrative penalty issued to Origimed, an independent third-party medical testing entity by Shanghai government in Jan 2025, the reason was that during the period from 28 Dec 2018 to 26 Jan 2022,an Origmed employee entered into an agreement with a doctor at a cancer hospital to use his influence as a doctor to recommend genetic testing business to Origimed. Thereafter, Origimed provide a statement clarified that the administrative penalty was not related to Pfizer.Based on these negative signals, we were concerned about the finance status of OrigiMed and the potential business impact of Pfizer/OrigiMed ongoing studies. China TM team identified the issue and immediate took actions.</t>
  </si>
  <si>
    <t>GCP_Critical_Jul-2025_Multiple Studies (Oncology): Potential Allegation: Reoccurrence, Business Continuity_ORIGIMED_CHN PRIVILEGED AND CONFIDENTIAL</t>
  </si>
  <si>
    <t xml:space="preserve"> China TM team immediately inform and escalate the issue to cross-functional team of Pfizer. No other relevant vendors are involved.China TM team immediately conduct risk assessment and mitigation plan for ongoing projects.  An EOT sample of C4891001 has just recently been sent to Origimed and the plasma has been isolated and awaiting testing by Origimed.Exploratory data reanalysis was being performed on C3441052 and the server shut down prevented the analysis from continuing.DTS data transfer for 3 projects (C4221015, C3441052, C4971010) not yet completed.Raw data for 4 projects (C4891001, C4221015, C3441052, C4971010) not yet completed.The WES/WTS WO for C4891001 has been changed to Burning Rock. The terminated WOs for C1071006 and C1071007 are in progress.The uncertainty in OrigiMed company stability may cause impact on future potential NDA inspection for C4891001. Pfizer and Origimed’s WO for Transmission and Storage of the Documents for potential NDA inspection have been drafted and will be sent to Origimed for review.</t>
  </si>
  <si>
    <t>QE-188088</t>
  </si>
  <si>
    <t>C4221015 CSR errata was not sent to principal investigator as per DMB10-GSOP-RF15, Appendix B.   During a C4221015 PMDA remote inspection in Japan, a query was received that asked if the errata had been sent and requested a copy of the documentation.  The study team became aware that the errata was not provided/non-compliance to process when reviewing documentation to respond to the query.</t>
  </si>
  <si>
    <t>GCP_Minor_Jul-2025_C4221015: CMCD: Study Errata Documentation_Pfizer_JPN</t>
  </si>
  <si>
    <t>Robert Laliberte</t>
  </si>
  <si>
    <t>Errata was sent to PI on 30Jun2025.</t>
  </si>
  <si>
    <t>QE-191414</t>
  </si>
  <si>
    <t>1053, 1144, 34003</t>
  </si>
  <si>
    <t>Maria Jose Safont Aguilera (C4221015-1144), Maria Jose Safont Aguilera (C4221022-1053), Maria Jose Safont Aguilera (C4251008-34003)</t>
  </si>
  <si>
    <t>On 08 July 2025 cSOM was made aware of a Central Monitoring Trend (cluepoints) at site 34003 (C4251008 Study). The respiratory rate value was always the same (18) across patients and at different visits/time-points for the same patients. The team agreed on having a site monitoring visit to investigate:if source documents at site show the same values,procedure and equipment used by site staff to evaluate this specific vital sign in patients involved in the trial.The SCP performed the visit on 17 July 2025, source documents at site showed the same values recorded in CRF, however the procedure followed by site staff does not meet protocol requirements.standard clinical practice at this site is to only check if the patient has tachypnea or bradypnea. If not, standard/normal respiratory rate is recorded with a value of 18, without actually measure the number of breaths per minute.</t>
  </si>
  <si>
    <t>GCP_Major_Jul-2025_C4221015, C4221022, C4251008_Protocol Procedures (Respiratory Rates)_Safont Aguilera, Maria Jose_ESP</t>
  </si>
  <si>
    <t>&lt;p&gt;Description of Issue(s):&lt;/p&gt;&lt;p&gt;On 26 Jun 2025 during a C4251008 Data Surveillance Meeting, the Central Monitor identified a trend at Site 34003 in Spain through a Cluepoints data analysis – both C4251008 Site 34003 participants enrolled at the site had a respiratory rate of 18 breaths per minute (bpm) recorded in the Case Report Form (CRF) for every time point where respiratory rate was assessed (31 total visits between the two participants). The C4251008 Site Care Partner (SCP) performed a site visit on 17 Jul 2025 which confirmed that site source documents matched the values recorded in CRF; however, site staff reported that standard clinical practice at the site was to measure a participant’s respiratory rate only if the participant’s breathing was abnormal. If the participant’s breathing was not noted as abnormal, the site recorded a value of 18 bpm without actually measuring the respiratory rate. This practice did not meet protocol or Good Clinical Practice requirements so a Quality Event was submitted.&amp;nbsp;&lt;/p&gt;&lt;p&gt;&lt;br&gt;&lt;/p&gt;&lt;p&gt;On 22 Jul 2025, the C4221022 Lead Clinician identified a similar trend in all nine participants enrolled at the same site in C4221015 (140 of 166 entries recorded as 18 bpm) and both C4221022 participants enrolled at the site (26 of 30 entries recorded as 18 bpm.)&lt;/p&gt;&lt;p&gt;&lt;br&gt;&lt;/p&gt;</t>
  </si>
  <si>
    <t>Inadequate source data/documentation</t>
  </si>
  <si>
    <t>Roberta Izzo</t>
  </si>
  <si>
    <t>The lack of compliance on this specific procedure raise a concern on a potential data integrity issue at this site.The SCP reached out to the PI and is currently waiting confirmation about PI's awareness of the site staff procedures, as well as any site specific SOP for measuring and recording standard value for respiratory rate. PD will be recorded for each patients/visits affected by this practice, Site staff (study coordinator and study nurse) have been re-trained on Protocol &amp;amp; GCP procedure. PI was not present during the visit,</t>
  </si>
  <si>
    <t>Site investigation confirmed that one current Trial Nurse was instructed by a previous Trial Nurse to record default respiratory rates of 18 breaths per minute, without assessment, for participants with no observed signs of abnormal breathing.&amp;nbsp; The prior Trial Nurse was not available for interview as they stopped working at the site on 22 Dec 2023. The PI confirmed the practice as described by the Trial Nurse was not institutional policy. PI was unaware this practice was occurring as vital sign collection was not required to be completed under direct observation of the PI by the protocol, institutional policy, or Good Clinical Practice.&amp;nbsp;</t>
  </si>
  <si>
    <t>Training Environment Not Adequate or Wrong Method of Training Used for Task/Skill (e.g. read &amp; understand, CBT, etc.)</t>
  </si>
  <si>
    <t>QE-196412</t>
  </si>
  <si>
    <t>The amount of study Investigational Product (IP), Encorafenib, returned from subject 12331008 of C4221015 study at the End of Treatment (EoT) visit (12-Jun-2025) does not match with the dosing record in the subject's dosing diary, number of tablets returned was more than that should have remained if subject's dosing diary is correct. Site confirmed to Clinical Research Associate (CRA) on 15-Aug-2025 that they reviewed subject dosing diary to check subject's dosing compliance, but missed to validate that information by counting the number of IP tablets returned. Site should have counted the IP returned, and discussed with subject for any discrepancies noted during the visit. Site discussed with subject later during follow-up visit (10-Jul-2025), but subject insisted that the dosing diary is correct, thus no reason could be provided for the discrepancy of IP compliance.</t>
  </si>
  <si>
    <t>GCP_Minor_Aug-2025_C4221015: IP Accountability_Tebbutt, Niall_AUS</t>
  </si>
  <si>
    <t>Subject 12331008 is not sampled for SDV/SDR, when discrepancy was noted, CRA checked with Principal Investigator (PI) and Site Coordinator (SC) for clarification and information. CRA also checked number of returned IPs from this subject in all the study cycles/visits performed by this subject, discrepancies were noted in some cycles other than the EoT visit. Altogether, subject returned 125 tablets extra throughout the treatment period, from 30-May-2024 to 12-Jun-2025, suggesting 31 days of missed doses. However, SC reviewed all subject diaries, and only 1 missed dose was recorded by subject in Cycle 1. Sub-investigator and Primary SC discussed with subject 12331008 during Follow-Up visit on 10-Jul-2025, but subject denied having missed any doses. CRA and SC also reviewed Impala/iView record, and confirmed no unscheduled dispensing or extra bottles of Encorafenib were provided to the subject that may result in extra IP returned.CRA also checked with site pharmacists, site pharmacists noted the extra number of tablets returned by the subject, but did not inform PI or SC because they were under the impression that they are not involved in checking subject's dosing compliance.CRA confirmed for SDV-ed/SDR-ed subjects, no similar issue was noted. CRA suggested site to review the subject IP compliance review process and assess for improvement of the process as corrective action, and to provide the outcome of review to CRA and sponsor. CRA also asked site to check if similar situation happened in other non-SDV/SDR subjects, and if so, to obtain accurate IP compliance as much as possible. If different IP compliance information is found after checking, site to correct data entered in eCRF (electronic Case Report Form).</t>
  </si>
  <si>
    <t>QE-197584</t>
  </si>
  <si>
    <t>During an internal
reconciliation between training documentation and safety documents, PPD
global Team Manager has discovered some training codes have not been
created for some of the study safety documents.As a result, part of the team
members is not appearing trained on past versions of safety reference
documents..375in;font-family:Calibri;font-size:11.0pt;" .375in;font-family:Calibri;font-size:11.0pt;"</t>
  </si>
  <si>
    <t>GCP_Minor_Aug-2025_C4221015: Training Documentation_PPD Inc._Global</t>
  </si>
  <si>
    <t>Actions: gCTM made a full reconciliation about training codes versus SRSDs used for the studygCTM requested new way to name the documents on the training internal documentation, since the difficult naming convention initially chosen may have caused difficulties in a proper reconciliationgCTM requested Pfizer regulatory to confirm that documents, for which training codes were not created, were actually applicable for the studygCTM will ask to create the training codes now for the documents confirmed applicable to the studygCTM is investigating if all those documents have been at least properly distributed at the time to the team Pfizer Study managers, Pfizer Regulatory Manager and PPD Team have been informed about this issue</t>
  </si>
  <si>
    <t>QE-199246</t>
  </si>
  <si>
    <t>Printouts of CT reports do not clearly indicate institution performing procedure and are not attributable to person reviewed images and wrote reports (radiologist) since are not signed. They are only wet-ink signed and dated by Sub-Is who reviewed and assessed them.</t>
  </si>
  <si>
    <t>GCP_Minor_Sep-2025_C4221015: CT Report Source Documentation_Nowakowska-Zajdel, Ewa_POL</t>
  </si>
  <si>
    <t>CRA demonstrated to site how to generate a report with missing info that if done, would only need wet-ink signature by radiologist. Radiologist was requested to update system used for CTs to include info missing (institution and person reviewed images) and to sign CT reports. CRA was informed by radiologist that this update needs to be done by IT department and confirmed that (radiologist) is in contact with them. Radiologist indicated that resolving the issue is delayed due to limited cooperation and lack of responsiveness from the Hospital IT Department, as well as the limited availability of the IT Manager. PI was informed in order to expedite process. Both PI and radiologist engaged to follow up with the IT Department and escalate to the Hospital Director if necessary. CRA re-trained radiologist on ALCOACCEA requirements and the training was documented.Radiologist was requested to sign CT reports but is still pending.</t>
  </si>
  <si>
    <t>QE-200595</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</si>
  <si>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</si>
  <si>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</si>
  <si>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</si>
  <si>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</si>
  <si>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</si>
  <si>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</si>
  <si>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Inconsistent With or a Different Interpretation of Regulatory Requirements (Document Standard Lacking/Incorrect Standard...</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</si>
  <si>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</si>
  <si>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</si>
  <si>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</si>
  <si>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</si>
  <si>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Safety surveillance and reporting by Sponsor</t>
  </si>
  <si>
    <t>Inadequate/incomplete internal safety surveillance, risk management and safety reporting</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</si>
  <si>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</si>
  <si>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</si>
  <si>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</si>
  <si>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</si>
  <si>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QE-206995</t>
  </si>
  <si>
    <t>IP left at site after expiry date and destroyed outside Italy when local regulation doesn't allow</t>
  </si>
  <si>
    <t>GCP_Minor_Oct-2025_C4221015: Investigational Product Management_PPD_ITA</t>
  </si>
  <si>
    <t>CRA re-trained about local legislation.Global Clinical Supplies was asked to provide an updated IP return document with clear information about local regulation for Italy and the fact that expired IP cannot be destroyed outside Italy.Sponsor informed by regional CTM.Note: PCRU location has been entered as Brussels since no other option where avaialable to us.</t>
  </si>
  <si>
    <t>QE-210977</t>
  </si>
  <si>
    <t>On Fri 31-Oct-25 study coordinator at site 1233 on protocol C4221015 shared Prohibited Identifying Information via email to CRA and ACRA. This issue was identified by site personnel immediately after sending and requested for CRA and ACRA to delete the email. CRA and ACRA were not aware of this breach until Mon 03-Nov-25 and promptly both deleted the email from inbox and deleted folders. PI is aware of the breach. Site to confirm if their RGO defines this event as serious breach and if formal submission is required per site process.</t>
  </si>
  <si>
    <t>GCP_Minor_Nov-2025_C4221015: Participant Confidentiality_Tebbutt, Niall_AUS</t>
  </si>
  <si>
    <t>Ashleigh Ross</t>
  </si>
  <si>
    <t xml:space="preserve">Email deleted by CRA and ACRA. It is confirmed the email was not forwarded to anyone. </t>
  </si>
  <si>
    <t>QE-217345</t>
  </si>
  <si>
    <t>&amp;lt; The patient's full name was collected in Investigational Product Accountability Log and archived in PTMF at Japan site 1401 in C4221015 study &amp;gt; On January 14, 2025, the onsite CRA obtained the Investigational Product Accountability Log, and the assistant CRA handled to PPD internal Sharepoint.  Around January 15, 2025, Clinical Trial coordinator archived the IPAL in PTMF.On November 28, 2025, the other onsite CRA found that there were unmasked documents and informed assistant CRA. Upon checking the PTMF folder on December 3, it was found that unmasked documents had been stored.</t>
  </si>
  <si>
    <t>GCP_Minor_Dec-2025_C4221015: Participant Confidentiality / Data Privacy_PPD_JPN</t>
  </si>
  <si>
    <t>Shinnosuke Mamiya</t>
  </si>
  <si>
    <t>CRA deleted the IPAL from PPD internal SharePoint on December 03 and also requested to delete from PTMF on December 05.</t>
  </si>
  <si>
    <t>QE-218070</t>
  </si>
  <si>
    <t>A retrospective review identified that 34,796 central lab safety tests (4.14%) were cancelled (not analyzed) during Study C4221015. Cancellations were primarily due to clotted samples, hemolyzed samples, and samples out of stability. These issues were not consistently flagged during vendor oversight calls, resulting in delayed mitigation and potential underreporting of protocol deviations. Please note that the number of cancelled tests is inflated as the vendor includes tests that are not required per protocol.  Per the vendor, 5% or less is an acceptable number of cancelled tests for this study.</t>
  </si>
  <si>
    <t>GCP_Minor_Dec-2025_C4221015: Central Lab Test Cancellations_PPD Labs; Pfizer_Global</t>
  </si>
  <si>
    <t>CT40-Management of Protocol Deviations, No Process Assigned</t>
  </si>
  <si>
    <t xml:space="preserve">GSM requested a deep dive into cancelled tests to understand the impact.  Training provided to sites on proper collection techniques (Aug–Sep 2025).CRAs followed up with high-cancellation sites (Oct 2025).Discussions with PPD Central Lab to clarify reporting and improve oversight.Storyboard created (December) Evaluating if PDs are to be recorded and can be bulk loaded Will request vendor to include cancelled test in regular meetings and provide specifics so that issues can be managed in real time </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</si>
  <si>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</si>
  <si>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</si>
  <si>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</si>
  <si>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&lt;p&gt;In October 2025, Statistical Data Sciences and Analytics (SDSA) identified that inconsistent methodologies were being used across open label, combination therapy oncology trials for the collection and reporting of treatment related adverse event (AE) assessments. The issue involved confusion at study sites regarding AE data entry, particularly in situations where a participant did not receive a specific treatment, leading to the incorrect use of “Not Done” and blank fields.&lt;/p&gt;&lt;p&gt;&lt;br&gt;&lt;/p&gt;&lt;p&gt;As a result, blank values within AE forms were being imputed as “Related” by downstream safety reporting systems, creating the potential for over reporting and associated safety risk.&lt;/p&gt;&lt;p&gt;&lt;br&gt;&lt;/p&gt;&lt;p&gt;The issue was observed across studies utilizing varying Case Report Form (CRF) designs and differing approaches to AE completion guidance, contributing to inconsistent data entry practices and duplication across studies.&lt;/p&gt;&lt;p&gt;&lt;br&gt;&lt;/p&gt;&lt;p&gt;A historical review was conducted of Quality Events in the eQMS database to identify QEs that meet the following search criteria: Keywords: CRF completion guidelines, CRF design, SDSA, and Data Management. Time frame: 2 years (January 2024 to January 2026).&amp;nbsp;&lt;/p&gt;&lt;p&gt;&lt;br&gt;&lt;/p&gt;&lt;p&gt;Each historical QE was reviewed along with QE Details, Root Causes, and Corrective and Preventive Action(s). Through this review, it was concluded that the current QE (QE-218315) is not a repeat occurrence.&lt;/p&gt;</t>
  </si>
  <si>
    <t>Process/System/Document no longer in use</t>
  </si>
  <si>
    <t>Inadequate IT system (eg. planning, definitions, design, development, testing, validation, support) per regulatory requirements</t>
  </si>
  <si>
    <t>DMB07-Study Data Set Design and Setup</t>
  </si>
  <si>
    <t>Nicholas Naro</t>
  </si>
  <si>
    <t>Current workaroundsProgramming teams have been implementing study level workarounds to avoid counting these blank (not applicable records) as related by only looking at the treatment specific questions that apply to each patient.Proposed updates have been drafted to address all new and ongoing studies.An action plan for new study starting up has been formulated to include updated CRF design guidelines.   The guideline recommendation in RedCapCloud is to remove the 'Set Reason Intentionally Blank' feature for the impact collection field (AE Related and AE Action Taken).    An implementation plan will need to be rolled out for all ongoing studies.   An assessment has been completed across all ongoing studies to quantify the number of findings. Based on the findings, recommendations have been established to continue the current workaround for studies with a high volume of impacted records, and to initiate an education and data correction campaign for studies with identified issues.</t>
  </si>
  <si>
    <t>Collection guidelines were not followed by the study team, resulting in AEREL being collected with AEREL1 in multi‑treatment studies, even though capturing both the overall and treatment‑specific relatedness questions in the same study was not permitted., Lack of standardized Case Report Form (CRF) completion guidelines led to individual study team interpretation., No system controls were in place to prevent sites from selecting “intentionally blank.”, Study Data Tabulation Model (SDTM) standard algorithms expected study teams to follow the standard collection guidelines and did not check for the overall related question because Adverse Event Relationship to Study Treatment 1 (AEREL1) and Adverse Event Relationship to Study Treatment 2 (AEREL2) are present hence disregarded the overall value.&amp;nbsp;, The Pfizer Safety Rulebook includes an imputation rule instructing that if the site cannot enter the relation to study treatment, the blank value should be treated as ‘related’ as the most conservative approach for reporting. The rulebook does not distinguish how to manage these blanks or missing values for questions that do not apply to an Adverse Event (AE) as it was not intended that this would occur., There was no guidance within the INFORM completion guidelines with regards to when to or not to use item level or form level comments (not applicable/not done/unknown)., There was no study build validation checks that were programmed when the study build was created. &amp;nbsp;</t>
  </si>
  <si>
    <t>Human Performance, Method/Procedure</t>
  </si>
  <si>
    <t>Decision Error, Procedure/Form/Plan</t>
  </si>
  <si>
    <t>Consequences of Decision Was not Known/Understood - Impact of Deviations/Variance in Process/Task not Known, Inadequate/Inaccurate/Confusing (Document Standard Lacking/Incorrect Standard Content)</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</si>
  <si>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</si>
  <si>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</si>
  <si>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</si>
  <si>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</si>
  <si>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</si>
  <si>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</si>
  <si>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QE-221503</t>
  </si>
  <si>
    <t>SIGNANT HEALTH GLOBAL SOLUTIONS LIMITED</t>
  </si>
  <si>
    <t>On 19-Dec-2025, local team in Spain notified the study team that one of their sites stopped receiving ePRO questionnaires for one of their patients from the vendor, Signant Health, since it appeared per the system that the patient had reached Visit 51. Per protocol, these questionnaires should be collected until the patient exits the study. Study team followed up with the vendor about adding more questionnaires. The vendor responded that their current ePRO configuration is aligned with a visit schedule that stops at Visit 50 (final treatment visit), followed only by End of Treatment and Follow-Up visits with a limited set of forms, and so the patient was not automatically receiving a new questionnaire.Study team reviewed the ongoing patients, and noted that for the enrollment date of the longest patient on study, Visit 50 would not be expected to occur for that patient until 2028.  Per protocol, at baseline, patients complete questionnaires every 6 weeks through week 72. At Week 80 the patients complete the ePRO questionnaire every 8 weeks. Considering this, the study's earliest enrolled patient (from January 2022) should only be around Visit 28–29 at this stage of the study.Given this discrepancy, the vendor said their team will review their Trial Management system configuration to determine the root cause and clarify the following:1.    How visits are being registered and counted in the system.2.    Why some patients are being flagged as "End of Treatment" so early, despite not having reached the expected study week milestones per protocol.The vendor is currently reviewing their system to determine the root cause and will share any findings that may require adjustments to the ePRO configuration or visit mapping.</t>
  </si>
  <si>
    <t>GCP_Minor_Jan-2026_C4221015: ePRO Questionnaire System Configuration_Signant Health_ESP</t>
  </si>
  <si>
    <t>The vendor, Signant Health, is currently looking into the root cause of this the ePRO configuration or mapping misalignment in their Trial Management system.</t>
  </si>
  <si>
    <t>QE-222495</t>
  </si>
  <si>
    <t>Ashish Manne (C4221015-1006)</t>
  </si>
  <si>
    <t>US site 1006: An event occurred for study OSU-20344 which may represent noncompliance (i.e. failure to follow the applicable regulations and/or the requirements and determination of the IRB.) Per site institutional policy any staff working on trial should be locally approved, must have completed the protocol training and should be added on the DOA Log. For OSU-20344, Dr Zachary Risch was not approved in Huron IRB, he is not listed in oncore staff tab, and he is not added on the DOA log. Site did not have his protocol training documentation for OSU-20344. However, he performed an assessment of a subject (1006-1003) on 2nd Jan 2026 (C23D1). The action already taken includes routing him the protocol training documentation via eReg, submitting a modification to get him approved from the IRB. Once we receive his training documentation and IRB approval, we will add him on the DOA log.</t>
  </si>
  <si>
    <t>GCP_Minor_Jan-2026_C4221015: Investigator Local Approval_Manne, Ashish_USA</t>
  </si>
  <si>
    <t>Compliance Requirements - Country Specific Requirements</t>
  </si>
  <si>
    <t>Failure to follow country-specific requirements</t>
  </si>
  <si>
    <t xml:space="preserve">The action already taken includes routing him the protocol training documentation via eReg, submitting a modification to get him approved from the IRB. We have now received his protocol training documentation and Huron IRB approval to add him on the study. So, site have added him on the DOA log and in 1572 as well. </t>
  </si>
  <si>
    <t>QE-223981</t>
  </si>
  <si>
    <t>ICDs to align with EU-CTR requirements for data retention period was submitted on 25Nov25 as Non Substantial Modification and needed to be implemented on 29Nov2025. Implementation was not done and subjects were not consented with updated ICDs.</t>
  </si>
  <si>
    <t>GCP_Minor_Jan-2026_C4221015: Informed Consent Process_Pfizer_POL</t>
  </si>
  <si>
    <t>Inadequate consent process by sponsor</t>
  </si>
  <si>
    <t>Implementation letter was requested to be shared with sites and patients on study to be reconsented.</t>
  </si>
  <si>
    <t>QE-224571</t>
  </si>
  <si>
    <t>Not all required safety narratives were included in subsequent CSR for study C4221015 and C4221008. Safety narratives that were provided in the safety update may not have been included in the second CSR; count is unknown at this time.</t>
  </si>
  <si>
    <t>GCP_Minor_Jan-2026_C4221015; C4221008: Clinical Study Report_Pfizer_BRA; CAN; JPN</t>
  </si>
  <si>
    <t>DMB10-Clinical Study Report, QMS09-Vendor Engagement</t>
  </si>
  <si>
    <t>Jennifer Regensburger</t>
  </si>
  <si>
    <t>Team met to discuss options to amend the CSR for C4221015.  CSR for C4221008 is still in progress and will be corrected prior to finalization.</t>
  </si>
  <si>
    <t>QE-226002</t>
  </si>
  <si>
    <t>Per protocol C4221015, Section 8.1.3 Survival Follow-up, “Upon the final OS analysis in each portion of the study (SLI, Phase 3 and Cohort 3), as specified in Section 9.4.3.2, no further contact for survival status will occur for participants enrolled in the specific study portion in the long-term survival follow-up stage.”Final OS analyses have been completed for the SLI and Phase 3 portions of the study, with clinical data cut-off dates of 22Dec2023 and 06Jan2025, respectively. However, collection of survival status data was not stopped and has continued while awaiting completion of regulatory review and approvals.  Phase 3 PFS is under review in US, EU, Mexico, Egypt, Dominican Republic, Columbia, Guatemala, and Kuwait.  Approximately 209 Phase 3 patients and 17 SLI patients are affected.  The study level ICD includes language for long-term follow-up period of 12 weeks and states that it could be for many years unless they withdraw consent to follow-up.  The data has not been used in any regulatory submissions or publications, however, Pierre Fabre, the market authorization holder for EMA, may need to submit Phase 3 3-year overall survival data to EMA, it will be transparent with EMA that this is not powered, descriptive only.</t>
  </si>
  <si>
    <t>GCP_Minor_Feb-2026_C4221015: CMCD: Protocol Adherence; Survival Status_Pfizer_Global</t>
  </si>
  <si>
    <t xml:space="preserve">Study team will prepare and issue a PACL to modify this language to include OS data collection of at least 3 years following study entry (C1D1 for SLI or randomization for Phase 3 and Cohort 3) in order to provide the requested data to EMA (data will not be removed from eDC)PACL will be submitted to IRB/EC (depending on country regulations).Country by country assessment for the acceptability of a PACL is ongoing. Preferred option is PACL. If rejected by RA, non-substantial protocol amendment needs to be submitted. The study level ICD does not need to be updated.  Site level ICDs are being reviewed to confirm that sites did not add any definition of when this data would be collected until.  If any ICD is found to have defined this, study team will assess if any patient was impacted at the site and how to manage it at that time.  Study team determined in conjunction with regulatory that PACL is required to correct both retrospective OS data collected for SLI and PH3 Pts to date, and prospectively for PH3 and CH 3 patients, until a minimum of 3 - year OS follow up.  Retrospective OS data collected (would be documented as study level protocol deviations).  As there is no breach of what patients have been consented for, it was determined is not a matter for legal. </t>
  </si>
  <si>
    <t>QE-228180</t>
  </si>
  <si>
    <t>Multiple informed consent deviations identified across patients, indicating non-compliance with ICH-GCP E6 requirements. Issues include missing mandatory re-consent signatures, lack of patient copy provision, incomplete ICD documents (missing site contact details), pre-filled name fields by site staff, missing Sub‑I signatures, and absent/insufficient source documentation of the consent process and addendum provision.More specific:Patient 1363-1002: -Patient not fully re-consented; revised ICD contained multiple re-consent sections, but the patient and SI signed only the last section (optional use of biological samples); other mandatory sections remain unsigned-Patient signed ICD, but did not personally enter their first and last name; the ICD was pre-filled by site staff.-ICD Main and Addendum does not include the site contact person and site phone numbers.-IC process not documented in SR and/or not available for CRA review. Patient 1363-1008:-ICD Addendum does not include the site contact person and site phone numbers.-IC process not documented in SR and/or not available for CRA review. Patient 1363-1009: -ICD addendum: Source documentation does not contain any information about provision of the ICD addendum to the patient.Patient 1363-1010: -ICD Addendum was not signed by SI-Signed copy of the ICD addendum was not provided to the patient at the time of consent-Patient signed ICD Addendum but did not personally enter their first and last name; ICD was pre-filled by site staff.-ICD Addendum does not include the site contact person and site phone numbers.-IC process not documented in SR and/or not available for CRA review Patient 1363-1013:-The participant signed the ICD, but did not personally enter their first and last name; the ICD was pre-filled by site staff. -SI signed ICD, but did not personally enter their first and last name; ICD was pre-filled by site staff.ICD Addendum does not include the site contact person and site phone numbers.-IC process not documented in SR and/or not available for CRA review</t>
  </si>
  <si>
    <t>GCP_Minor_Feb-2026_C4221015 Informed Consent Process_Nowakowska-Zajdel,Ewa_POL</t>
  </si>
  <si>
    <t>Deviations related to the ICD process were discussed with the site, escalated to the PI. Corrective actions were agreed. PI was requested to oversee ICD related corrections. The PI, Sub-Investigators and primary SC were trained on the protocol and ICH GCP E6(R3) requirements for the informed consent process. Corrective actions for ICD-related deviations. Training was documented in the site training log.</t>
  </si>
  <si>
    <t>QE-229323</t>
  </si>
  <si>
    <t>CH3 ORR  CSR appendix 16.1.4 is incorrect – references 28 countries and 188 sites, when it should be 27 countries and 187 sites (site 1113 did not receive drug or screen Pts for CH3)This erroneous country and site scope is also reflected in the CSR synopsisNote – submission not impacted as site that that screened Pts are in scope for submission site 1113 did not receive drug or screen Pts for CH3)</t>
  </si>
  <si>
    <t>GCP_Minor_Feb-2026_C4221015: CMCD: Clinical Study Report_Pfizer_Global</t>
  </si>
  <si>
    <t>Study team to determine if the issue should be resolved via a CSR errata or addendum.  Despite the issue not affecting study conduct, data interpretation, or overall study conclusions, it affects the CSR synopsis and therefore SOPs may require a CSR amendment path.</t>
  </si>
  <si>
    <t>QE-233404</t>
  </si>
  <si>
    <t>John Crockett (C4221015-1173)</t>
  </si>
  <si>
    <t>A log containing patients' personal information was provided via email to study team members (aCRA and CTM).ACRA contacted site in S. Africa to request a log (ICF log) that was required to be provided for filing purposes. Reporter of QE (CTM) was copied in communication. Study coordinator replied to email mentioning that requested log was not found, instead only 2 other logs (Subject identification list and Screening and Enrollment) were located and were attached.</t>
  </si>
  <si>
    <t>GCP_Minor_Mar-2026_C4221015: Participant Confidentiality / Data Privacy_Crockett, John_ZAF</t>
  </si>
  <si>
    <t>QE reporter has not opened any of the attachments and has sent the same day an email notifying site that document with subjects' personal information was shared via email. Incident was reported on 12Mar26 to CTM's company. Incident was reported via Protect Pfizer on 13Mar26.</t>
  </si>
  <si>
    <t>QE-233834</t>
  </si>
  <si>
    <t>Recent ICD addenda issued by me for 2 studies (C4221015 and C4221026) did not include "Pfizer Confidential" in either the header or footer as required per the green instructional text in the ICD addendum template (v. 15 July 2025).  Looking across studies in the C422 program (to include C4221015, C4221016, C4221023 and C4221026), other instances of this have occurred - with perhaps 8 of 11 ICD addenda not including a footer or "Pfizer Confidential."</t>
  </si>
  <si>
    <t>GCP_Minor_Mar-2026_C4221015, C4221026, C4221016, C4221023: CMCD: Informed Consent Document_Pfizer_Global</t>
  </si>
  <si>
    <t>I was alerted about this by the C4221016 Global Study Management on Friday March 13th.  I submitted a query to CT05 BPO about this via GoFindIt.   I have alerted the C4221026 CSTL &amp;amp; SM, as well as clinicians on C4221016 and C4221023.  I will inquire with C4221015 and C4221026 teams about possibility to issue a revised ICD addenda for the most recent cases (ie, past 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</si>
</sst>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1B5F-62E5-4228-AF8F-645C4E89DC1F}">
  <dimension ref="A1:AM27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2173783</v>
      </c>
      <c r="B2" t="s">
        <v>39</v>
      </c>
      <c r="C2" t="s">
        <v>40</v>
      </c>
      <c r="D2">
        <v>2173775</v>
      </c>
      <c r="G2" t="s">
        <v>41</v>
      </c>
      <c r="H2" t="s">
        <v>42</v>
      </c>
      <c r="I2" t="s">
        <v>43</v>
      </c>
      <c r="J2" s="1" t="s">
        <v>44</v>
      </c>
      <c r="K2" s="2">
        <v>44027</v>
      </c>
      <c r="L2" s="2">
        <v>44032</v>
      </c>
      <c r="M2" s="2">
        <v>44032</v>
      </c>
      <c r="N2" t="s">
        <v>45</v>
      </c>
      <c r="P2" t="s">
        <v>46</v>
      </c>
      <c r="R2" t="s">
        <v>47</v>
      </c>
      <c r="V2" s="2">
        <v>44032.828506944446</v>
      </c>
      <c r="X2" t="s">
        <v>48</v>
      </c>
      <c r="Y2" t="s">
        <v>49</v>
      </c>
      <c r="AB2" t="s">
        <v>50</v>
      </c>
      <c r="AC2" t="s">
        <v>51</v>
      </c>
      <c r="AE2" t="s">
        <v>52</v>
      </c>
      <c r="AL2" t="s">
        <v>53</v>
      </c>
      <c r="AM2" t="s">
        <v>54</v>
      </c>
    </row>
    <row r="3" spans="1:39" x14ac:dyDescent="0.35">
      <c r="A3">
        <v>2177385</v>
      </c>
      <c r="B3" t="s">
        <v>39</v>
      </c>
      <c r="C3" t="s">
        <v>55</v>
      </c>
      <c r="D3">
        <v>2177350</v>
      </c>
      <c r="E3">
        <v>1007</v>
      </c>
      <c r="F3" t="s">
        <v>56</v>
      </c>
      <c r="G3" t="s">
        <v>41</v>
      </c>
      <c r="H3" t="s">
        <v>42</v>
      </c>
      <c r="I3" t="s">
        <v>43</v>
      </c>
      <c r="J3" s="1" t="s">
        <v>57</v>
      </c>
      <c r="K3" s="2">
        <v>44077</v>
      </c>
      <c r="L3" s="2">
        <v>44106</v>
      </c>
      <c r="M3" s="2">
        <v>44109</v>
      </c>
      <c r="N3" t="s">
        <v>58</v>
      </c>
      <c r="P3" t="s">
        <v>46</v>
      </c>
      <c r="R3" t="s">
        <v>47</v>
      </c>
      <c r="V3" s="2">
        <v>44109.69730324074</v>
      </c>
      <c r="X3" t="s">
        <v>48</v>
      </c>
      <c r="Y3" t="s">
        <v>49</v>
      </c>
      <c r="AB3" t="s">
        <v>59</v>
      </c>
      <c r="AC3" t="s">
        <v>60</v>
      </c>
      <c r="AE3" t="s">
        <v>61</v>
      </c>
      <c r="AL3" t="s">
        <v>53</v>
      </c>
      <c r="AM3" t="s">
        <v>54</v>
      </c>
    </row>
    <row r="4" spans="1:39" x14ac:dyDescent="0.35">
      <c r="A4">
        <v>2181945</v>
      </c>
      <c r="B4" t="s">
        <v>39</v>
      </c>
      <c r="C4" t="s">
        <v>41</v>
      </c>
      <c r="D4">
        <v>2181930</v>
      </c>
      <c r="E4">
        <v>1104</v>
      </c>
      <c r="F4" t="s">
        <v>62</v>
      </c>
      <c r="G4" t="s">
        <v>41</v>
      </c>
      <c r="H4" t="s">
        <v>42</v>
      </c>
      <c r="I4" t="s">
        <v>43</v>
      </c>
      <c r="J4" s="1" t="s">
        <v>63</v>
      </c>
      <c r="K4" s="2">
        <v>44180</v>
      </c>
      <c r="L4" s="2">
        <v>44181</v>
      </c>
      <c r="M4" s="2">
        <v>44181</v>
      </c>
      <c r="N4" t="s">
        <v>64</v>
      </c>
      <c r="P4" t="s">
        <v>46</v>
      </c>
      <c r="R4" t="s">
        <v>47</v>
      </c>
      <c r="V4" s="2">
        <v>44181.962465277778</v>
      </c>
      <c r="X4" t="s">
        <v>48</v>
      </c>
      <c r="Y4" t="s">
        <v>65</v>
      </c>
      <c r="AB4" t="s">
        <v>59</v>
      </c>
      <c r="AC4" t="s">
        <v>51</v>
      </c>
      <c r="AE4" t="s">
        <v>66</v>
      </c>
      <c r="AL4" t="s">
        <v>53</v>
      </c>
      <c r="AM4" t="s">
        <v>54</v>
      </c>
    </row>
    <row r="5" spans="1:39" x14ac:dyDescent="0.35">
      <c r="A5">
        <v>2181945</v>
      </c>
      <c r="B5" t="s">
        <v>39</v>
      </c>
      <c r="C5" t="s">
        <v>40</v>
      </c>
      <c r="D5">
        <v>2181930</v>
      </c>
      <c r="G5" t="s">
        <v>41</v>
      </c>
      <c r="H5" t="s">
        <v>42</v>
      </c>
      <c r="I5" t="s">
        <v>43</v>
      </c>
      <c r="J5" s="1" t="s">
        <v>63</v>
      </c>
      <c r="K5" s="2">
        <v>44180</v>
      </c>
      <c r="L5" s="2">
        <v>44181</v>
      </c>
      <c r="M5" s="2">
        <v>44181</v>
      </c>
      <c r="N5" t="s">
        <v>64</v>
      </c>
      <c r="P5" t="s">
        <v>46</v>
      </c>
      <c r="R5" t="s">
        <v>47</v>
      </c>
      <c r="V5" s="2">
        <v>44181.962465277778</v>
      </c>
      <c r="X5" t="s">
        <v>48</v>
      </c>
      <c r="Y5" t="s">
        <v>65</v>
      </c>
      <c r="AB5" t="s">
        <v>59</v>
      </c>
      <c r="AC5" t="s">
        <v>51</v>
      </c>
      <c r="AE5" t="s">
        <v>66</v>
      </c>
      <c r="AL5" t="s">
        <v>53</v>
      </c>
      <c r="AM5" t="s">
        <v>54</v>
      </c>
    </row>
    <row r="6" spans="1:39" x14ac:dyDescent="0.35">
      <c r="A6">
        <v>2182327</v>
      </c>
      <c r="B6" t="s">
        <v>39</v>
      </c>
      <c r="C6" t="s">
        <v>41</v>
      </c>
      <c r="D6">
        <v>2182317</v>
      </c>
      <c r="E6">
        <v>1104</v>
      </c>
      <c r="F6" t="s">
        <v>62</v>
      </c>
      <c r="G6" t="s">
        <v>41</v>
      </c>
      <c r="H6" t="s">
        <v>42</v>
      </c>
      <c r="I6" t="s">
        <v>43</v>
      </c>
      <c r="J6" s="1" t="s">
        <v>67</v>
      </c>
      <c r="K6" s="2">
        <v>44188</v>
      </c>
      <c r="L6" s="2">
        <v>44188</v>
      </c>
      <c r="M6" s="2">
        <v>44189</v>
      </c>
      <c r="N6" t="s">
        <v>68</v>
      </c>
      <c r="P6" t="s">
        <v>46</v>
      </c>
      <c r="R6" t="s">
        <v>47</v>
      </c>
      <c r="V6" s="2">
        <v>44189.588333333333</v>
      </c>
      <c r="X6" t="s">
        <v>69</v>
      </c>
      <c r="Y6" t="s">
        <v>70</v>
      </c>
      <c r="AB6" t="s">
        <v>71</v>
      </c>
      <c r="AC6" t="s">
        <v>51</v>
      </c>
      <c r="AE6" s="1" t="s">
        <v>72</v>
      </c>
      <c r="AL6" t="s">
        <v>53</v>
      </c>
      <c r="AM6" t="s">
        <v>54</v>
      </c>
    </row>
    <row r="7" spans="1:39" x14ac:dyDescent="0.35">
      <c r="A7">
        <v>2182327</v>
      </c>
      <c r="B7" t="s">
        <v>39</v>
      </c>
      <c r="C7" t="s">
        <v>40</v>
      </c>
      <c r="D7">
        <v>2182317</v>
      </c>
      <c r="G7" t="s">
        <v>41</v>
      </c>
      <c r="H7" t="s">
        <v>42</v>
      </c>
      <c r="I7" t="s">
        <v>43</v>
      </c>
      <c r="J7" s="1" t="s">
        <v>67</v>
      </c>
      <c r="K7" s="2">
        <v>44188</v>
      </c>
      <c r="L7" s="2">
        <v>44188</v>
      </c>
      <c r="M7" s="2">
        <v>44189</v>
      </c>
      <c r="N7" t="s">
        <v>68</v>
      </c>
      <c r="P7" t="s">
        <v>46</v>
      </c>
      <c r="R7" t="s">
        <v>47</v>
      </c>
      <c r="V7" s="2">
        <v>44189.588333333333</v>
      </c>
      <c r="X7" t="s">
        <v>69</v>
      </c>
      <c r="Y7" t="s">
        <v>70</v>
      </c>
      <c r="AB7" t="s">
        <v>71</v>
      </c>
      <c r="AC7" t="s">
        <v>51</v>
      </c>
      <c r="AE7" s="1" t="s">
        <v>72</v>
      </c>
      <c r="AL7" t="s">
        <v>53</v>
      </c>
      <c r="AM7" t="s">
        <v>54</v>
      </c>
    </row>
    <row r="8" spans="1:39" x14ac:dyDescent="0.35">
      <c r="A8">
        <v>2183157</v>
      </c>
      <c r="B8" t="s">
        <v>39</v>
      </c>
      <c r="C8" t="s">
        <v>41</v>
      </c>
      <c r="D8">
        <v>2183152</v>
      </c>
      <c r="E8">
        <v>1004</v>
      </c>
      <c r="F8" t="s">
        <v>73</v>
      </c>
      <c r="G8" t="s">
        <v>41</v>
      </c>
      <c r="H8" t="s">
        <v>42</v>
      </c>
      <c r="I8" t="s">
        <v>43</v>
      </c>
      <c r="J8" s="1" t="s">
        <v>74</v>
      </c>
      <c r="K8" s="2">
        <v>44216</v>
      </c>
      <c r="L8" s="2">
        <v>44216</v>
      </c>
      <c r="M8" s="2">
        <v>44216</v>
      </c>
      <c r="N8" t="s">
        <v>75</v>
      </c>
      <c r="P8" t="s">
        <v>46</v>
      </c>
      <c r="R8" t="s">
        <v>47</v>
      </c>
      <c r="V8" s="2">
        <v>44216.904120370367</v>
      </c>
      <c r="X8" t="s">
        <v>76</v>
      </c>
      <c r="Y8" t="s">
        <v>77</v>
      </c>
      <c r="AB8" t="s">
        <v>78</v>
      </c>
      <c r="AC8" t="s">
        <v>60</v>
      </c>
      <c r="AE8" t="s">
        <v>79</v>
      </c>
      <c r="AL8" t="s">
        <v>53</v>
      </c>
      <c r="AM8" t="s">
        <v>54</v>
      </c>
    </row>
    <row r="9" spans="1:39" x14ac:dyDescent="0.35">
      <c r="A9">
        <v>2183346</v>
      </c>
      <c r="B9" t="s">
        <v>39</v>
      </c>
      <c r="C9" t="s">
        <v>41</v>
      </c>
      <c r="D9">
        <v>2183330</v>
      </c>
      <c r="E9">
        <v>1104</v>
      </c>
      <c r="F9" t="s">
        <v>62</v>
      </c>
      <c r="G9" t="s">
        <v>41</v>
      </c>
      <c r="H9" t="s">
        <v>42</v>
      </c>
      <c r="I9" t="s">
        <v>43</v>
      </c>
      <c r="J9" s="1" t="s">
        <v>80</v>
      </c>
      <c r="K9" s="2">
        <v>44221</v>
      </c>
      <c r="L9" s="2">
        <v>44221</v>
      </c>
      <c r="M9" s="2">
        <v>44221</v>
      </c>
      <c r="N9" t="s">
        <v>81</v>
      </c>
      <c r="P9" t="s">
        <v>46</v>
      </c>
      <c r="R9" t="s">
        <v>47</v>
      </c>
      <c r="V9" s="2">
        <v>44221.787557870368</v>
      </c>
      <c r="X9" t="s">
        <v>82</v>
      </c>
      <c r="Y9" t="s">
        <v>83</v>
      </c>
      <c r="AB9" t="s">
        <v>84</v>
      </c>
      <c r="AC9" t="s">
        <v>85</v>
      </c>
      <c r="AE9" t="s">
        <v>86</v>
      </c>
      <c r="AL9" t="s">
        <v>53</v>
      </c>
      <c r="AM9" t="s">
        <v>54</v>
      </c>
    </row>
    <row r="10" spans="1:39" x14ac:dyDescent="0.35">
      <c r="A10">
        <v>2183602</v>
      </c>
      <c r="B10" t="s">
        <v>39</v>
      </c>
      <c r="C10" t="s">
        <v>40</v>
      </c>
      <c r="D10">
        <v>2183572</v>
      </c>
      <c r="G10" t="s">
        <v>41</v>
      </c>
      <c r="H10" t="s">
        <v>42</v>
      </c>
      <c r="I10" t="s">
        <v>43</v>
      </c>
      <c r="J10" s="1" t="s">
        <v>87</v>
      </c>
      <c r="K10" s="2">
        <v>44225</v>
      </c>
      <c r="L10" s="2">
        <v>44225</v>
      </c>
      <c r="M10" s="2">
        <v>44225</v>
      </c>
      <c r="N10" t="s">
        <v>88</v>
      </c>
      <c r="P10" t="s">
        <v>46</v>
      </c>
      <c r="R10" t="s">
        <v>47</v>
      </c>
      <c r="V10" s="2">
        <v>44225.952777777777</v>
      </c>
      <c r="X10" t="s">
        <v>48</v>
      </c>
      <c r="Y10" t="s">
        <v>49</v>
      </c>
      <c r="AB10" t="s">
        <v>50</v>
      </c>
      <c r="AC10" t="s">
        <v>89</v>
      </c>
      <c r="AE10" t="s">
        <v>90</v>
      </c>
      <c r="AL10" t="s">
        <v>53</v>
      </c>
      <c r="AM10" t="s">
        <v>54</v>
      </c>
    </row>
    <row r="11" spans="1:39" x14ac:dyDescent="0.35">
      <c r="A11">
        <v>2185429</v>
      </c>
      <c r="B11" t="s">
        <v>39</v>
      </c>
      <c r="C11" t="s">
        <v>41</v>
      </c>
      <c r="D11">
        <v>2185335</v>
      </c>
      <c r="E11">
        <v>1003</v>
      </c>
      <c r="F11" t="s">
        <v>91</v>
      </c>
      <c r="G11" t="s">
        <v>41</v>
      </c>
      <c r="H11" t="s">
        <v>42</v>
      </c>
      <c r="I11" t="s">
        <v>43</v>
      </c>
      <c r="J11" s="1" t="s">
        <v>92</v>
      </c>
      <c r="K11" s="2">
        <v>44265</v>
      </c>
      <c r="L11" s="2">
        <v>44266</v>
      </c>
      <c r="M11" s="2">
        <v>44267</v>
      </c>
      <c r="N11" t="s">
        <v>93</v>
      </c>
      <c r="P11" t="s">
        <v>46</v>
      </c>
      <c r="R11" t="s">
        <v>47</v>
      </c>
      <c r="V11" s="2">
        <v>44267.928807870368</v>
      </c>
      <c r="X11" t="s">
        <v>94</v>
      </c>
      <c r="Y11" t="s">
        <v>95</v>
      </c>
      <c r="AB11" t="s">
        <v>78</v>
      </c>
      <c r="AC11" t="s">
        <v>60</v>
      </c>
      <c r="AE11" t="s">
        <v>96</v>
      </c>
      <c r="AL11" t="s">
        <v>53</v>
      </c>
      <c r="AM11" t="s">
        <v>54</v>
      </c>
    </row>
    <row r="12" spans="1:39" x14ac:dyDescent="0.35">
      <c r="A12">
        <v>2185429</v>
      </c>
      <c r="B12" t="s">
        <v>39</v>
      </c>
      <c r="C12" t="s">
        <v>40</v>
      </c>
      <c r="D12">
        <v>2185335</v>
      </c>
      <c r="G12" t="s">
        <v>41</v>
      </c>
      <c r="H12" t="s">
        <v>42</v>
      </c>
      <c r="I12" t="s">
        <v>43</v>
      </c>
      <c r="J12" s="1" t="s">
        <v>92</v>
      </c>
      <c r="K12" s="2">
        <v>44265</v>
      </c>
      <c r="L12" s="2">
        <v>44266</v>
      </c>
      <c r="M12" s="2">
        <v>44267</v>
      </c>
      <c r="N12" t="s">
        <v>93</v>
      </c>
      <c r="P12" t="s">
        <v>46</v>
      </c>
      <c r="R12" t="s">
        <v>47</v>
      </c>
      <c r="V12" s="2">
        <v>44267.928807870368</v>
      </c>
      <c r="X12" t="s">
        <v>94</v>
      </c>
      <c r="Y12" t="s">
        <v>95</v>
      </c>
      <c r="AB12" t="s">
        <v>78</v>
      </c>
      <c r="AC12" t="s">
        <v>60</v>
      </c>
      <c r="AE12" t="s">
        <v>96</v>
      </c>
      <c r="AL12" t="s">
        <v>53</v>
      </c>
      <c r="AM12" t="s">
        <v>54</v>
      </c>
    </row>
    <row r="13" spans="1:39" x14ac:dyDescent="0.35">
      <c r="A13">
        <v>2185488</v>
      </c>
      <c r="B13" t="s">
        <v>39</v>
      </c>
      <c r="C13" t="s">
        <v>41</v>
      </c>
      <c r="D13">
        <v>2185428</v>
      </c>
      <c r="E13">
        <v>1406</v>
      </c>
      <c r="F13" t="s">
        <v>97</v>
      </c>
      <c r="G13" t="s">
        <v>41</v>
      </c>
      <c r="H13" t="s">
        <v>42</v>
      </c>
      <c r="I13" t="s">
        <v>43</v>
      </c>
      <c r="J13" s="1" t="s">
        <v>98</v>
      </c>
      <c r="K13" s="2">
        <v>44267</v>
      </c>
      <c r="L13" s="2">
        <v>44267</v>
      </c>
      <c r="M13" s="2">
        <v>44270</v>
      </c>
      <c r="N13" t="s">
        <v>99</v>
      </c>
      <c r="P13" t="s">
        <v>46</v>
      </c>
      <c r="R13" t="s">
        <v>47</v>
      </c>
      <c r="V13" s="2">
        <v>44270.823761574073</v>
      </c>
      <c r="X13" t="s">
        <v>48</v>
      </c>
      <c r="Y13" t="s">
        <v>65</v>
      </c>
      <c r="AB13" t="s">
        <v>59</v>
      </c>
      <c r="AC13" t="s">
        <v>100</v>
      </c>
      <c r="AE13" t="s">
        <v>101</v>
      </c>
      <c r="AL13" t="s">
        <v>53</v>
      </c>
      <c r="AM13" t="s">
        <v>54</v>
      </c>
    </row>
    <row r="14" spans="1:39" x14ac:dyDescent="0.35">
      <c r="A14">
        <v>2185554</v>
      </c>
      <c r="B14" t="s">
        <v>39</v>
      </c>
      <c r="C14" t="s">
        <v>41</v>
      </c>
      <c r="D14">
        <v>2185506</v>
      </c>
      <c r="E14">
        <v>1296</v>
      </c>
      <c r="F14" t="s">
        <v>102</v>
      </c>
      <c r="G14" t="s">
        <v>41</v>
      </c>
      <c r="H14" t="s">
        <v>42</v>
      </c>
      <c r="I14" t="s">
        <v>43</v>
      </c>
      <c r="J14" s="1" t="s">
        <v>103</v>
      </c>
      <c r="K14" s="2">
        <v>44271</v>
      </c>
      <c r="L14" s="2">
        <v>44271</v>
      </c>
      <c r="M14" s="2">
        <v>44271</v>
      </c>
      <c r="N14" t="s">
        <v>104</v>
      </c>
      <c r="P14" t="s">
        <v>46</v>
      </c>
      <c r="R14" t="s">
        <v>47</v>
      </c>
      <c r="V14" s="2">
        <v>44271.838599537034</v>
      </c>
      <c r="X14" t="s">
        <v>105</v>
      </c>
      <c r="Y14" t="s">
        <v>106</v>
      </c>
      <c r="AB14" t="s">
        <v>107</v>
      </c>
      <c r="AC14" t="s">
        <v>85</v>
      </c>
      <c r="AE14" t="s">
        <v>108</v>
      </c>
      <c r="AL14" t="s">
        <v>53</v>
      </c>
      <c r="AM14" t="s">
        <v>54</v>
      </c>
    </row>
    <row r="15" spans="1:39" x14ac:dyDescent="0.35">
      <c r="A15">
        <v>2186014</v>
      </c>
      <c r="B15" t="s">
        <v>39</v>
      </c>
      <c r="C15" t="s">
        <v>41</v>
      </c>
      <c r="D15">
        <v>2185993</v>
      </c>
      <c r="E15">
        <v>1122</v>
      </c>
      <c r="F15" t="s">
        <v>109</v>
      </c>
      <c r="G15" t="s">
        <v>41</v>
      </c>
      <c r="H15" t="s">
        <v>42</v>
      </c>
      <c r="I15" t="s">
        <v>43</v>
      </c>
      <c r="J15" s="1" t="s">
        <v>110</v>
      </c>
      <c r="K15" s="2">
        <v>44280</v>
      </c>
      <c r="L15" s="2">
        <v>44281</v>
      </c>
      <c r="M15" s="2">
        <v>44281</v>
      </c>
      <c r="N15" t="s">
        <v>111</v>
      </c>
      <c r="P15" t="s">
        <v>46</v>
      </c>
      <c r="R15" t="s">
        <v>47</v>
      </c>
      <c r="V15" s="2">
        <v>44281.794537037036</v>
      </c>
      <c r="X15" t="s">
        <v>48</v>
      </c>
      <c r="Y15" t="s">
        <v>49</v>
      </c>
      <c r="AB15" t="s">
        <v>59</v>
      </c>
      <c r="AC15" t="s">
        <v>112</v>
      </c>
      <c r="AE15" t="s">
        <v>113</v>
      </c>
      <c r="AL15" t="s">
        <v>53</v>
      </c>
      <c r="AM15" t="s">
        <v>54</v>
      </c>
    </row>
    <row r="16" spans="1:39" x14ac:dyDescent="0.35">
      <c r="A16">
        <v>2186199</v>
      </c>
      <c r="B16" t="s">
        <v>39</v>
      </c>
      <c r="C16" t="s">
        <v>41</v>
      </c>
      <c r="D16">
        <v>2186180</v>
      </c>
      <c r="E16">
        <v>1240</v>
      </c>
      <c r="F16" t="s">
        <v>114</v>
      </c>
      <c r="G16" t="s">
        <v>41</v>
      </c>
      <c r="H16" t="s">
        <v>42</v>
      </c>
      <c r="I16" t="s">
        <v>43</v>
      </c>
      <c r="J16" s="1" t="s">
        <v>115</v>
      </c>
      <c r="K16" s="2">
        <v>44285</v>
      </c>
      <c r="L16" s="2">
        <v>44285</v>
      </c>
      <c r="M16" s="2">
        <v>44286</v>
      </c>
      <c r="N16" t="s">
        <v>116</v>
      </c>
      <c r="P16" t="s">
        <v>46</v>
      </c>
      <c r="R16" t="s">
        <v>47</v>
      </c>
      <c r="V16" s="2">
        <v>44286.634120370371</v>
      </c>
      <c r="X16" t="s">
        <v>76</v>
      </c>
      <c r="Y16" t="s">
        <v>77</v>
      </c>
      <c r="AB16" t="s">
        <v>78</v>
      </c>
      <c r="AC16" t="s">
        <v>85</v>
      </c>
      <c r="AE16" t="s">
        <v>117</v>
      </c>
      <c r="AL16" t="s">
        <v>53</v>
      </c>
      <c r="AM16" t="s">
        <v>54</v>
      </c>
    </row>
    <row r="17" spans="1:39" x14ac:dyDescent="0.35">
      <c r="A17">
        <v>2187096</v>
      </c>
      <c r="B17" t="s">
        <v>39</v>
      </c>
      <c r="C17" t="s">
        <v>40</v>
      </c>
      <c r="D17">
        <v>2187076</v>
      </c>
      <c r="G17" t="s">
        <v>41</v>
      </c>
      <c r="H17" t="s">
        <v>42</v>
      </c>
      <c r="I17" t="s">
        <v>43</v>
      </c>
      <c r="J17" s="1" t="s">
        <v>118</v>
      </c>
      <c r="K17" s="2">
        <v>44306</v>
      </c>
      <c r="L17" s="2">
        <v>44307</v>
      </c>
      <c r="M17" s="2">
        <v>44307</v>
      </c>
      <c r="N17" t="s">
        <v>119</v>
      </c>
      <c r="P17" t="s">
        <v>46</v>
      </c>
      <c r="R17" t="s">
        <v>47</v>
      </c>
      <c r="V17" s="2">
        <v>44307.653645833336</v>
      </c>
      <c r="X17" t="s">
        <v>120</v>
      </c>
      <c r="Y17" t="s">
        <v>121</v>
      </c>
      <c r="AB17" t="s">
        <v>122</v>
      </c>
      <c r="AC17" t="s">
        <v>123</v>
      </c>
      <c r="AE17" s="1" t="s">
        <v>124</v>
      </c>
      <c r="AL17" t="s">
        <v>53</v>
      </c>
      <c r="AM17" t="s">
        <v>54</v>
      </c>
    </row>
    <row r="18" spans="1:39" x14ac:dyDescent="0.35">
      <c r="A18">
        <v>2187244</v>
      </c>
      <c r="B18" t="s">
        <v>39</v>
      </c>
      <c r="C18" t="s">
        <v>41</v>
      </c>
      <c r="D18">
        <v>2187208</v>
      </c>
      <c r="E18">
        <v>1104</v>
      </c>
      <c r="F18" t="s">
        <v>62</v>
      </c>
      <c r="G18" t="s">
        <v>41</v>
      </c>
      <c r="H18" t="s">
        <v>42</v>
      </c>
      <c r="I18" t="s">
        <v>43</v>
      </c>
      <c r="J18" s="1" t="s">
        <v>125</v>
      </c>
      <c r="K18" s="2">
        <v>44308</v>
      </c>
      <c r="L18" s="2">
        <v>44309</v>
      </c>
      <c r="M18" s="2">
        <v>44309</v>
      </c>
      <c r="N18" t="s">
        <v>126</v>
      </c>
      <c r="P18" t="s">
        <v>46</v>
      </c>
      <c r="R18" t="s">
        <v>47</v>
      </c>
      <c r="V18" s="2">
        <v>44309.687962962962</v>
      </c>
      <c r="X18" t="s">
        <v>82</v>
      </c>
      <c r="Y18" t="s">
        <v>83</v>
      </c>
      <c r="AB18" t="s">
        <v>84</v>
      </c>
      <c r="AC18" t="s">
        <v>85</v>
      </c>
      <c r="AE18" t="s">
        <v>127</v>
      </c>
      <c r="AL18" t="s">
        <v>53</v>
      </c>
      <c r="AM18" t="s">
        <v>54</v>
      </c>
    </row>
    <row r="19" spans="1:39" x14ac:dyDescent="0.35">
      <c r="A19">
        <v>2187902</v>
      </c>
      <c r="B19" t="s">
        <v>39</v>
      </c>
      <c r="C19" t="s">
        <v>41</v>
      </c>
      <c r="D19">
        <v>2187758</v>
      </c>
      <c r="E19">
        <v>1240</v>
      </c>
      <c r="F19" t="s">
        <v>114</v>
      </c>
      <c r="G19" t="s">
        <v>41</v>
      </c>
      <c r="H19" t="s">
        <v>42</v>
      </c>
      <c r="I19" t="s">
        <v>43</v>
      </c>
      <c r="J19" s="1" t="s">
        <v>128</v>
      </c>
      <c r="K19" s="2">
        <v>44313</v>
      </c>
      <c r="L19" s="2">
        <v>44313</v>
      </c>
      <c r="M19" s="2">
        <v>44313</v>
      </c>
      <c r="N19" t="s">
        <v>129</v>
      </c>
      <c r="P19" t="s">
        <v>46</v>
      </c>
      <c r="R19" t="s">
        <v>47</v>
      </c>
      <c r="V19" s="2">
        <v>44313.862650462965</v>
      </c>
      <c r="X19" t="s">
        <v>130</v>
      </c>
      <c r="Y19" t="s">
        <v>131</v>
      </c>
      <c r="AB19" t="s">
        <v>132</v>
      </c>
      <c r="AC19" t="s">
        <v>85</v>
      </c>
      <c r="AE19" t="s">
        <v>133</v>
      </c>
      <c r="AL19" t="s">
        <v>53</v>
      </c>
      <c r="AM19" t="s">
        <v>54</v>
      </c>
    </row>
    <row r="20" spans="1:39" x14ac:dyDescent="0.35">
      <c r="A20">
        <v>2189138</v>
      </c>
      <c r="B20" t="s">
        <v>39</v>
      </c>
      <c r="C20" t="s">
        <v>41</v>
      </c>
      <c r="D20">
        <v>2189112</v>
      </c>
      <c r="E20">
        <v>1117</v>
      </c>
      <c r="F20" t="s">
        <v>134</v>
      </c>
      <c r="G20" t="s">
        <v>41</v>
      </c>
      <c r="H20" t="s">
        <v>42</v>
      </c>
      <c r="I20" t="s">
        <v>43</v>
      </c>
      <c r="J20" s="1" t="s">
        <v>135</v>
      </c>
      <c r="K20" s="2">
        <v>44336</v>
      </c>
      <c r="L20" s="2">
        <v>44336</v>
      </c>
      <c r="M20" s="2">
        <v>44337</v>
      </c>
      <c r="N20" t="s">
        <v>136</v>
      </c>
      <c r="P20" t="s">
        <v>46</v>
      </c>
      <c r="R20" t="s">
        <v>47</v>
      </c>
      <c r="V20" s="2">
        <v>44337.58079861111</v>
      </c>
      <c r="X20" t="s">
        <v>48</v>
      </c>
      <c r="Y20" t="s">
        <v>49</v>
      </c>
      <c r="AB20" t="s">
        <v>59</v>
      </c>
      <c r="AC20" t="s">
        <v>137</v>
      </c>
      <c r="AE20" t="s">
        <v>138</v>
      </c>
      <c r="AL20" t="s">
        <v>53</v>
      </c>
      <c r="AM20" t="s">
        <v>54</v>
      </c>
    </row>
    <row r="21" spans="1:39" x14ac:dyDescent="0.35">
      <c r="A21">
        <v>2189138</v>
      </c>
      <c r="B21" t="s">
        <v>39</v>
      </c>
      <c r="C21" t="s">
        <v>40</v>
      </c>
      <c r="D21">
        <v>2189112</v>
      </c>
      <c r="G21" t="s">
        <v>41</v>
      </c>
      <c r="H21" t="s">
        <v>42</v>
      </c>
      <c r="I21" t="s">
        <v>43</v>
      </c>
      <c r="J21" s="1" t="s">
        <v>135</v>
      </c>
      <c r="K21" s="2">
        <v>44336</v>
      </c>
      <c r="L21" s="2">
        <v>44336</v>
      </c>
      <c r="M21" s="2">
        <v>44337</v>
      </c>
      <c r="N21" t="s">
        <v>136</v>
      </c>
      <c r="P21" t="s">
        <v>46</v>
      </c>
      <c r="R21" t="s">
        <v>47</v>
      </c>
      <c r="V21" s="2">
        <v>44337.58079861111</v>
      </c>
      <c r="X21" t="s">
        <v>48</v>
      </c>
      <c r="Y21" t="s">
        <v>49</v>
      </c>
      <c r="AB21" t="s">
        <v>59</v>
      </c>
      <c r="AC21" t="s">
        <v>137</v>
      </c>
      <c r="AE21" t="s">
        <v>138</v>
      </c>
      <c r="AL21" t="s">
        <v>53</v>
      </c>
      <c r="AM21" t="s">
        <v>54</v>
      </c>
    </row>
    <row r="22" spans="1:39" x14ac:dyDescent="0.35">
      <c r="A22">
        <v>2189897</v>
      </c>
      <c r="B22" t="s">
        <v>39</v>
      </c>
      <c r="C22" t="s">
        <v>41</v>
      </c>
      <c r="D22">
        <v>2189864</v>
      </c>
      <c r="E22">
        <v>1004</v>
      </c>
      <c r="F22" t="s">
        <v>139</v>
      </c>
      <c r="G22" t="s">
        <v>41</v>
      </c>
      <c r="H22" t="s">
        <v>140</v>
      </c>
      <c r="I22" t="s">
        <v>43</v>
      </c>
      <c r="J22" s="1" t="s">
        <v>141</v>
      </c>
      <c r="K22" s="2">
        <v>44354</v>
      </c>
      <c r="L22" s="2">
        <v>44354</v>
      </c>
      <c r="M22" s="2">
        <v>44355</v>
      </c>
      <c r="N22" t="s">
        <v>142</v>
      </c>
      <c r="P22" t="s">
        <v>143</v>
      </c>
      <c r="Q22" s="3">
        <v>44456</v>
      </c>
      <c r="R22" s="1" t="s">
        <v>144</v>
      </c>
      <c r="S22" t="s">
        <v>145</v>
      </c>
      <c r="T22" t="s">
        <v>146</v>
      </c>
      <c r="U22" s="2">
        <v>44396</v>
      </c>
      <c r="V22" s="2">
        <v>44456.818761574075</v>
      </c>
      <c r="X22" t="s">
        <v>147</v>
      </c>
      <c r="Y22" t="s">
        <v>148</v>
      </c>
      <c r="Z22" s="2">
        <v>44428.882638888892</v>
      </c>
      <c r="AA22" s="2">
        <v>44427.724999999999</v>
      </c>
      <c r="AB22" t="s">
        <v>78</v>
      </c>
      <c r="AC22" t="s">
        <v>149</v>
      </c>
      <c r="AD22" t="s">
        <v>150</v>
      </c>
      <c r="AE22" t="s">
        <v>151</v>
      </c>
      <c r="AF22" t="s">
        <v>152</v>
      </c>
      <c r="AG22" t="s">
        <v>153</v>
      </c>
      <c r="AL22" t="s">
        <v>53</v>
      </c>
      <c r="AM22" t="s">
        <v>54</v>
      </c>
    </row>
    <row r="23" spans="1:39" x14ac:dyDescent="0.35">
      <c r="A23">
        <v>2189897</v>
      </c>
      <c r="B23" t="s">
        <v>39</v>
      </c>
      <c r="C23" t="s">
        <v>40</v>
      </c>
      <c r="D23">
        <v>2189864</v>
      </c>
      <c r="E23" t="s">
        <v>154</v>
      </c>
      <c r="F23" t="s">
        <v>139</v>
      </c>
      <c r="G23" t="s">
        <v>41</v>
      </c>
      <c r="H23" t="s">
        <v>140</v>
      </c>
      <c r="I23" t="s">
        <v>43</v>
      </c>
      <c r="J23" s="1" t="s">
        <v>141</v>
      </c>
      <c r="K23" s="2">
        <v>44354</v>
      </c>
      <c r="L23" s="2">
        <v>44354</v>
      </c>
      <c r="M23" s="2">
        <v>44355</v>
      </c>
      <c r="N23" t="s">
        <v>142</v>
      </c>
      <c r="P23" t="s">
        <v>143</v>
      </c>
      <c r="Q23" s="3">
        <v>44456</v>
      </c>
      <c r="R23" s="1" t="s">
        <v>144</v>
      </c>
      <c r="S23" t="s">
        <v>145</v>
      </c>
      <c r="T23" t="s">
        <v>146</v>
      </c>
      <c r="U23" s="2">
        <v>44396</v>
      </c>
      <c r="V23" s="2">
        <v>44456.818761574075</v>
      </c>
      <c r="X23" t="s">
        <v>147</v>
      </c>
      <c r="Y23" t="s">
        <v>148</v>
      </c>
      <c r="Z23" s="2">
        <v>44428.882638888892</v>
      </c>
      <c r="AA23" s="2">
        <v>44427.724999999999</v>
      </c>
      <c r="AB23" t="s">
        <v>78</v>
      </c>
      <c r="AC23" t="s">
        <v>149</v>
      </c>
      <c r="AD23" t="s">
        <v>150</v>
      </c>
      <c r="AE23" t="s">
        <v>151</v>
      </c>
      <c r="AF23" t="s">
        <v>152</v>
      </c>
      <c r="AG23" t="s">
        <v>153</v>
      </c>
      <c r="AL23" t="s">
        <v>53</v>
      </c>
      <c r="AM23" t="s">
        <v>54</v>
      </c>
    </row>
    <row r="24" spans="1:39" x14ac:dyDescent="0.35">
      <c r="A24">
        <v>2189912</v>
      </c>
      <c r="B24" t="s">
        <v>39</v>
      </c>
      <c r="C24" t="s">
        <v>41</v>
      </c>
      <c r="D24">
        <v>2189891</v>
      </c>
      <c r="E24">
        <v>1003</v>
      </c>
      <c r="F24" t="s">
        <v>91</v>
      </c>
      <c r="G24" t="s">
        <v>41</v>
      </c>
      <c r="H24" t="s">
        <v>42</v>
      </c>
      <c r="I24" t="s">
        <v>43</v>
      </c>
      <c r="J24" s="1" t="s">
        <v>155</v>
      </c>
      <c r="K24" s="2">
        <v>44354</v>
      </c>
      <c r="L24" s="2">
        <v>44355</v>
      </c>
      <c r="M24" s="2">
        <v>44355</v>
      </c>
      <c r="N24" t="s">
        <v>156</v>
      </c>
      <c r="P24" t="s">
        <v>46</v>
      </c>
      <c r="R24" t="s">
        <v>47</v>
      </c>
      <c r="V24" s="2">
        <v>44355.736620370371</v>
      </c>
      <c r="X24" t="s">
        <v>130</v>
      </c>
      <c r="Y24" t="s">
        <v>131</v>
      </c>
      <c r="AB24" t="s">
        <v>132</v>
      </c>
      <c r="AC24" t="s">
        <v>157</v>
      </c>
      <c r="AE24" s="1" t="s">
        <v>158</v>
      </c>
      <c r="AL24" t="s">
        <v>53</v>
      </c>
      <c r="AM24" t="s">
        <v>54</v>
      </c>
    </row>
    <row r="25" spans="1:39" x14ac:dyDescent="0.35">
      <c r="A25">
        <v>2190744</v>
      </c>
      <c r="B25" t="s">
        <v>39</v>
      </c>
      <c r="C25" t="s">
        <v>41</v>
      </c>
      <c r="D25">
        <v>2190483</v>
      </c>
      <c r="E25">
        <v>1001</v>
      </c>
      <c r="F25" t="s">
        <v>159</v>
      </c>
      <c r="G25" t="s">
        <v>41</v>
      </c>
      <c r="H25" t="s">
        <v>42</v>
      </c>
      <c r="I25" t="s">
        <v>43</v>
      </c>
      <c r="J25" s="1" t="s">
        <v>160</v>
      </c>
      <c r="K25" s="2">
        <v>44365</v>
      </c>
      <c r="L25" s="2">
        <v>44366</v>
      </c>
      <c r="M25" s="2">
        <v>44369</v>
      </c>
      <c r="N25" t="s">
        <v>161</v>
      </c>
      <c r="P25" t="s">
        <v>46</v>
      </c>
      <c r="R25" t="s">
        <v>47</v>
      </c>
      <c r="V25" s="2">
        <v>44369.678090277775</v>
      </c>
      <c r="X25" t="s">
        <v>94</v>
      </c>
      <c r="Y25" t="s">
        <v>162</v>
      </c>
      <c r="AB25" t="s">
        <v>78</v>
      </c>
      <c r="AC25" t="s">
        <v>157</v>
      </c>
      <c r="AE25" s="1" t="s">
        <v>163</v>
      </c>
      <c r="AL25" t="s">
        <v>53</v>
      </c>
      <c r="AM25" t="s">
        <v>54</v>
      </c>
    </row>
    <row r="26" spans="1:39" x14ac:dyDescent="0.35">
      <c r="A26">
        <v>2190923</v>
      </c>
      <c r="B26" t="s">
        <v>39</v>
      </c>
      <c r="C26" t="s">
        <v>41</v>
      </c>
      <c r="D26">
        <v>2190879</v>
      </c>
      <c r="E26">
        <v>1104</v>
      </c>
      <c r="F26" t="s">
        <v>62</v>
      </c>
      <c r="G26" t="s">
        <v>41</v>
      </c>
      <c r="H26" t="s">
        <v>42</v>
      </c>
      <c r="I26" t="s">
        <v>43</v>
      </c>
      <c r="J26" s="1" t="s">
        <v>164</v>
      </c>
      <c r="K26" s="2">
        <v>44371</v>
      </c>
      <c r="L26" s="2">
        <v>44371</v>
      </c>
      <c r="M26" s="2">
        <v>44371</v>
      </c>
      <c r="N26" t="s">
        <v>165</v>
      </c>
      <c r="P26" t="s">
        <v>46</v>
      </c>
      <c r="R26" t="s">
        <v>47</v>
      </c>
      <c r="V26" s="2">
        <v>44371.619710648149</v>
      </c>
      <c r="X26" t="s">
        <v>94</v>
      </c>
      <c r="Y26" t="s">
        <v>162</v>
      </c>
      <c r="AB26" t="s">
        <v>78</v>
      </c>
      <c r="AC26" t="s">
        <v>85</v>
      </c>
      <c r="AE26" t="s">
        <v>166</v>
      </c>
      <c r="AL26" t="s">
        <v>53</v>
      </c>
      <c r="AM26" t="s">
        <v>54</v>
      </c>
    </row>
    <row r="27" spans="1:39" x14ac:dyDescent="0.35">
      <c r="A27">
        <v>2191019</v>
      </c>
      <c r="B27" t="s">
        <v>39</v>
      </c>
      <c r="C27" t="s">
        <v>41</v>
      </c>
      <c r="D27">
        <v>2190962</v>
      </c>
      <c r="E27">
        <v>1415</v>
      </c>
      <c r="F27" t="s">
        <v>167</v>
      </c>
      <c r="G27" t="s">
        <v>41</v>
      </c>
      <c r="H27" t="s">
        <v>42</v>
      </c>
      <c r="I27" t="s">
        <v>43</v>
      </c>
      <c r="J27" s="1" t="s">
        <v>168</v>
      </c>
      <c r="K27" s="2">
        <v>44369</v>
      </c>
      <c r="L27" s="2">
        <v>44372</v>
      </c>
      <c r="M27" s="2">
        <v>44372</v>
      </c>
      <c r="N27" t="s">
        <v>169</v>
      </c>
      <c r="P27" t="s">
        <v>46</v>
      </c>
      <c r="R27" t="s">
        <v>47</v>
      </c>
      <c r="V27" s="2">
        <v>44372.678090277775</v>
      </c>
      <c r="X27" t="s">
        <v>76</v>
      </c>
      <c r="Y27" t="s">
        <v>77</v>
      </c>
      <c r="AB27">
        <v>411</v>
      </c>
      <c r="AC27" t="s">
        <v>123</v>
      </c>
      <c r="AE27" t="s">
        <v>170</v>
      </c>
      <c r="AL27" t="s">
        <v>53</v>
      </c>
      <c r="AM27" t="s">
        <v>54</v>
      </c>
    </row>
    <row r="28" spans="1:39" x14ac:dyDescent="0.35">
      <c r="A28">
        <v>2191019</v>
      </c>
      <c r="B28" t="s">
        <v>39</v>
      </c>
      <c r="C28" t="s">
        <v>40</v>
      </c>
      <c r="D28">
        <v>2190962</v>
      </c>
      <c r="G28" t="s">
        <v>41</v>
      </c>
      <c r="H28" t="s">
        <v>42</v>
      </c>
      <c r="I28" t="s">
        <v>43</v>
      </c>
      <c r="J28" s="1" t="s">
        <v>168</v>
      </c>
      <c r="K28" s="2">
        <v>44369</v>
      </c>
      <c r="L28" s="2">
        <v>44372</v>
      </c>
      <c r="M28" s="2">
        <v>44372</v>
      </c>
      <c r="N28" t="s">
        <v>169</v>
      </c>
      <c r="P28" t="s">
        <v>46</v>
      </c>
      <c r="R28" t="s">
        <v>47</v>
      </c>
      <c r="V28" s="2">
        <v>44372.678090277775</v>
      </c>
      <c r="X28" t="s">
        <v>76</v>
      </c>
      <c r="Y28" t="s">
        <v>77</v>
      </c>
      <c r="AB28">
        <v>411</v>
      </c>
      <c r="AC28" t="s">
        <v>123</v>
      </c>
      <c r="AE28" t="s">
        <v>170</v>
      </c>
      <c r="AL28" t="s">
        <v>53</v>
      </c>
      <c r="AM28" t="s">
        <v>54</v>
      </c>
    </row>
    <row r="29" spans="1:39" x14ac:dyDescent="0.35">
      <c r="A29">
        <v>2191467</v>
      </c>
      <c r="B29" t="s">
        <v>39</v>
      </c>
      <c r="C29" t="s">
        <v>41</v>
      </c>
      <c r="D29">
        <v>2191428</v>
      </c>
      <c r="E29" t="s">
        <v>171</v>
      </c>
      <c r="F29" t="s">
        <v>172</v>
      </c>
      <c r="G29" t="s">
        <v>41</v>
      </c>
      <c r="H29" t="s">
        <v>42</v>
      </c>
      <c r="I29" t="s">
        <v>43</v>
      </c>
      <c r="J29" s="1" t="s">
        <v>173</v>
      </c>
      <c r="K29" s="2">
        <v>44321</v>
      </c>
      <c r="L29" s="2">
        <v>44383</v>
      </c>
      <c r="M29" s="2">
        <v>44384</v>
      </c>
      <c r="N29" t="s">
        <v>174</v>
      </c>
      <c r="P29" t="s">
        <v>46</v>
      </c>
      <c r="R29" t="s">
        <v>47</v>
      </c>
      <c r="V29" s="2">
        <v>44384.750810185185</v>
      </c>
      <c r="X29" t="s">
        <v>82</v>
      </c>
      <c r="Y29" t="s">
        <v>175</v>
      </c>
      <c r="AB29" t="s">
        <v>84</v>
      </c>
      <c r="AC29" t="s">
        <v>176</v>
      </c>
      <c r="AE29" t="s">
        <v>177</v>
      </c>
      <c r="AL29" t="s">
        <v>53</v>
      </c>
      <c r="AM29" t="s">
        <v>54</v>
      </c>
    </row>
    <row r="30" spans="1:39" x14ac:dyDescent="0.35">
      <c r="A30">
        <v>2191467</v>
      </c>
      <c r="B30" t="s">
        <v>39</v>
      </c>
      <c r="C30" t="s">
        <v>40</v>
      </c>
      <c r="D30">
        <v>2191428</v>
      </c>
      <c r="G30" t="s">
        <v>41</v>
      </c>
      <c r="H30" t="s">
        <v>42</v>
      </c>
      <c r="I30" t="s">
        <v>43</v>
      </c>
      <c r="J30" s="1" t="s">
        <v>173</v>
      </c>
      <c r="K30" s="2">
        <v>44321</v>
      </c>
      <c r="L30" s="2">
        <v>44383</v>
      </c>
      <c r="M30" s="2">
        <v>44384</v>
      </c>
      <c r="N30" t="s">
        <v>174</v>
      </c>
      <c r="P30" t="s">
        <v>46</v>
      </c>
      <c r="R30" t="s">
        <v>47</v>
      </c>
      <c r="V30" s="2">
        <v>44384.750810185185</v>
      </c>
      <c r="X30" t="s">
        <v>82</v>
      </c>
      <c r="Y30" t="s">
        <v>175</v>
      </c>
      <c r="AB30" t="s">
        <v>84</v>
      </c>
      <c r="AC30" t="s">
        <v>176</v>
      </c>
      <c r="AE30" t="s">
        <v>177</v>
      </c>
      <c r="AL30" t="s">
        <v>53</v>
      </c>
      <c r="AM30" t="s">
        <v>54</v>
      </c>
    </row>
    <row r="31" spans="1:39" x14ac:dyDescent="0.35">
      <c r="A31">
        <v>2193559</v>
      </c>
      <c r="B31" t="s">
        <v>39</v>
      </c>
      <c r="C31" t="s">
        <v>41</v>
      </c>
      <c r="D31">
        <v>2193420</v>
      </c>
      <c r="E31" t="s">
        <v>178</v>
      </c>
      <c r="F31" t="s">
        <v>179</v>
      </c>
      <c r="G31" t="s">
        <v>41</v>
      </c>
      <c r="H31" t="s">
        <v>42</v>
      </c>
      <c r="I31" t="s">
        <v>43</v>
      </c>
      <c r="J31" s="1" t="s">
        <v>180</v>
      </c>
      <c r="K31" s="2">
        <v>44426</v>
      </c>
      <c r="L31" s="2">
        <v>44427</v>
      </c>
      <c r="M31" s="2">
        <v>44432</v>
      </c>
      <c r="N31" t="s">
        <v>181</v>
      </c>
      <c r="P31" t="s">
        <v>46</v>
      </c>
      <c r="R31" t="s">
        <v>47</v>
      </c>
      <c r="V31" s="2">
        <v>44432.648877314816</v>
      </c>
      <c r="X31" t="s">
        <v>48</v>
      </c>
      <c r="Y31" t="s">
        <v>65</v>
      </c>
      <c r="AB31" t="s">
        <v>59</v>
      </c>
      <c r="AC31" t="s">
        <v>182</v>
      </c>
      <c r="AE31" s="1" t="s">
        <v>183</v>
      </c>
      <c r="AL31" t="s">
        <v>53</v>
      </c>
      <c r="AM31" t="s">
        <v>54</v>
      </c>
    </row>
    <row r="32" spans="1:39" x14ac:dyDescent="0.35">
      <c r="A32">
        <v>2193559</v>
      </c>
      <c r="B32" t="s">
        <v>39</v>
      </c>
      <c r="C32" t="s">
        <v>40</v>
      </c>
      <c r="D32">
        <v>2193420</v>
      </c>
      <c r="G32" t="s">
        <v>41</v>
      </c>
      <c r="H32" t="s">
        <v>42</v>
      </c>
      <c r="I32" t="s">
        <v>43</v>
      </c>
      <c r="J32" s="1" t="s">
        <v>180</v>
      </c>
      <c r="K32" s="2">
        <v>44426</v>
      </c>
      <c r="L32" s="2">
        <v>44427</v>
      </c>
      <c r="M32" s="2">
        <v>44432</v>
      </c>
      <c r="N32" t="s">
        <v>181</v>
      </c>
      <c r="P32" t="s">
        <v>46</v>
      </c>
      <c r="R32" t="s">
        <v>47</v>
      </c>
      <c r="V32" s="2">
        <v>44432.648877314816</v>
      </c>
      <c r="X32" t="s">
        <v>48</v>
      </c>
      <c r="Y32" t="s">
        <v>65</v>
      </c>
      <c r="AB32" t="s">
        <v>59</v>
      </c>
      <c r="AC32" t="s">
        <v>182</v>
      </c>
      <c r="AE32" s="1" t="s">
        <v>183</v>
      </c>
      <c r="AL32" t="s">
        <v>53</v>
      </c>
      <c r="AM32" t="s">
        <v>54</v>
      </c>
    </row>
    <row r="33" spans="1:39" x14ac:dyDescent="0.35">
      <c r="A33">
        <v>2194035</v>
      </c>
      <c r="B33" t="s">
        <v>39</v>
      </c>
      <c r="C33" t="s">
        <v>41</v>
      </c>
      <c r="D33">
        <v>2194034</v>
      </c>
      <c r="E33">
        <v>1264</v>
      </c>
      <c r="F33" t="s">
        <v>184</v>
      </c>
      <c r="G33" t="s">
        <v>41</v>
      </c>
      <c r="H33" t="s">
        <v>42</v>
      </c>
      <c r="I33" t="s">
        <v>43</v>
      </c>
      <c r="J33" s="1" t="s">
        <v>185</v>
      </c>
      <c r="K33" s="2">
        <v>44441</v>
      </c>
      <c r="L33" s="2">
        <v>44441</v>
      </c>
      <c r="M33" s="2">
        <v>44441</v>
      </c>
      <c r="N33" t="s">
        <v>186</v>
      </c>
      <c r="P33" t="s">
        <v>46</v>
      </c>
      <c r="R33" t="s">
        <v>47</v>
      </c>
      <c r="V33" s="2">
        <v>44441.833310185182</v>
      </c>
      <c r="X33" t="s">
        <v>187</v>
      </c>
      <c r="Y33" t="s">
        <v>188</v>
      </c>
      <c r="AB33" t="s">
        <v>78</v>
      </c>
      <c r="AC33" t="s">
        <v>189</v>
      </c>
      <c r="AE33" s="1" t="s">
        <v>190</v>
      </c>
      <c r="AL33" t="s">
        <v>53</v>
      </c>
      <c r="AM33" t="s">
        <v>54</v>
      </c>
    </row>
    <row r="34" spans="1:39" x14ac:dyDescent="0.35">
      <c r="A34">
        <v>2194909</v>
      </c>
      <c r="B34" t="s">
        <v>39</v>
      </c>
      <c r="C34" t="s">
        <v>41</v>
      </c>
      <c r="D34">
        <v>2194722</v>
      </c>
      <c r="E34">
        <v>1264</v>
      </c>
      <c r="F34" t="s">
        <v>184</v>
      </c>
      <c r="G34" t="s">
        <v>41</v>
      </c>
      <c r="H34" t="s">
        <v>42</v>
      </c>
      <c r="I34" t="s">
        <v>43</v>
      </c>
      <c r="J34" s="1" t="s">
        <v>191</v>
      </c>
      <c r="K34" s="2">
        <v>44456</v>
      </c>
      <c r="L34" s="2">
        <v>44456</v>
      </c>
      <c r="M34" s="2">
        <v>44461</v>
      </c>
      <c r="N34" t="s">
        <v>192</v>
      </c>
      <c r="P34" t="s">
        <v>46</v>
      </c>
      <c r="R34" t="s">
        <v>47</v>
      </c>
      <c r="V34" s="2">
        <v>44461.828611111108</v>
      </c>
      <c r="X34" t="s">
        <v>187</v>
      </c>
      <c r="Y34" t="s">
        <v>193</v>
      </c>
      <c r="AB34" t="s">
        <v>78</v>
      </c>
      <c r="AC34" t="s">
        <v>189</v>
      </c>
      <c r="AE34" s="1" t="s">
        <v>194</v>
      </c>
      <c r="AL34" t="s">
        <v>53</v>
      </c>
      <c r="AM34" t="s">
        <v>54</v>
      </c>
    </row>
    <row r="35" spans="1:39" x14ac:dyDescent="0.35">
      <c r="A35">
        <v>2196706</v>
      </c>
      <c r="B35" t="s">
        <v>39</v>
      </c>
      <c r="C35" t="s">
        <v>40</v>
      </c>
      <c r="D35">
        <v>2196531</v>
      </c>
      <c r="G35" t="s">
        <v>41</v>
      </c>
      <c r="H35" t="s">
        <v>42</v>
      </c>
      <c r="I35" t="s">
        <v>43</v>
      </c>
      <c r="J35" s="1" t="s">
        <v>195</v>
      </c>
      <c r="K35" s="2">
        <v>44491</v>
      </c>
      <c r="L35" s="2">
        <v>44491</v>
      </c>
      <c r="M35" s="2">
        <v>44494</v>
      </c>
      <c r="N35" t="s">
        <v>196</v>
      </c>
      <c r="P35" t="s">
        <v>46</v>
      </c>
      <c r="R35" t="s">
        <v>47</v>
      </c>
      <c r="V35" s="2">
        <v>44494.896666666667</v>
      </c>
      <c r="X35" t="s">
        <v>197</v>
      </c>
      <c r="Y35" t="s">
        <v>198</v>
      </c>
      <c r="AB35" t="s">
        <v>50</v>
      </c>
      <c r="AC35" t="s">
        <v>176</v>
      </c>
      <c r="AE35" t="s">
        <v>199</v>
      </c>
      <c r="AL35" t="s">
        <v>53</v>
      </c>
      <c r="AM35" t="s">
        <v>54</v>
      </c>
    </row>
    <row r="36" spans="1:39" x14ac:dyDescent="0.35">
      <c r="A36">
        <v>2198957</v>
      </c>
      <c r="B36" t="s">
        <v>39</v>
      </c>
      <c r="C36" t="s">
        <v>40</v>
      </c>
      <c r="D36">
        <v>2198904</v>
      </c>
      <c r="G36" t="s">
        <v>41</v>
      </c>
      <c r="H36" t="s">
        <v>42</v>
      </c>
      <c r="I36" t="s">
        <v>43</v>
      </c>
      <c r="J36" s="1" t="s">
        <v>200</v>
      </c>
      <c r="K36" s="2">
        <v>44518</v>
      </c>
      <c r="L36" s="2">
        <v>44523</v>
      </c>
      <c r="M36" s="2">
        <v>44524</v>
      </c>
      <c r="N36" t="s">
        <v>201</v>
      </c>
      <c r="P36" t="s">
        <v>46</v>
      </c>
      <c r="R36" t="s">
        <v>47</v>
      </c>
      <c r="V36" s="2">
        <v>44524.821597222224</v>
      </c>
      <c r="X36" t="s">
        <v>48</v>
      </c>
      <c r="Y36" t="s">
        <v>65</v>
      </c>
      <c r="AB36" t="s">
        <v>59</v>
      </c>
      <c r="AC36" t="s">
        <v>202</v>
      </c>
      <c r="AE36" s="1" t="s">
        <v>203</v>
      </c>
      <c r="AL36" t="s">
        <v>53</v>
      </c>
      <c r="AM36" t="s">
        <v>54</v>
      </c>
    </row>
    <row r="37" spans="1:39" x14ac:dyDescent="0.35">
      <c r="A37">
        <v>2200822</v>
      </c>
      <c r="B37" t="s">
        <v>39</v>
      </c>
      <c r="C37" t="s">
        <v>41</v>
      </c>
      <c r="D37">
        <v>2200805</v>
      </c>
      <c r="E37">
        <v>1382</v>
      </c>
      <c r="F37" t="s">
        <v>204</v>
      </c>
      <c r="G37" t="s">
        <v>41</v>
      </c>
      <c r="H37" t="s">
        <v>42</v>
      </c>
      <c r="I37" t="s">
        <v>43</v>
      </c>
      <c r="J37" s="1" t="s">
        <v>205</v>
      </c>
      <c r="K37" s="2">
        <v>44566</v>
      </c>
      <c r="L37" s="2">
        <v>44566</v>
      </c>
      <c r="M37" s="2">
        <v>44566</v>
      </c>
      <c r="N37" t="s">
        <v>206</v>
      </c>
      <c r="P37" t="s">
        <v>46</v>
      </c>
      <c r="R37" t="s">
        <v>47</v>
      </c>
      <c r="V37" s="2">
        <v>44566.681875000002</v>
      </c>
      <c r="X37" t="s">
        <v>82</v>
      </c>
      <c r="Y37" t="s">
        <v>83</v>
      </c>
      <c r="AB37" t="s">
        <v>84</v>
      </c>
      <c r="AC37" t="s">
        <v>207</v>
      </c>
      <c r="AE37" s="1" t="s">
        <v>208</v>
      </c>
      <c r="AL37" t="s">
        <v>53</v>
      </c>
      <c r="AM37" t="s">
        <v>54</v>
      </c>
    </row>
    <row r="38" spans="1:39" x14ac:dyDescent="0.35">
      <c r="A38">
        <v>2201584</v>
      </c>
      <c r="B38" t="s">
        <v>39</v>
      </c>
      <c r="C38" t="s">
        <v>40</v>
      </c>
      <c r="D38">
        <v>2201561</v>
      </c>
      <c r="G38" t="s">
        <v>41</v>
      </c>
      <c r="H38" t="s">
        <v>42</v>
      </c>
      <c r="I38" t="s">
        <v>43</v>
      </c>
      <c r="J38" s="1" t="s">
        <v>209</v>
      </c>
      <c r="K38" s="2">
        <v>44581</v>
      </c>
      <c r="L38" s="2">
        <v>44582</v>
      </c>
      <c r="M38" s="2">
        <v>44582</v>
      </c>
      <c r="N38" t="s">
        <v>210</v>
      </c>
      <c r="P38" t="s">
        <v>46</v>
      </c>
      <c r="R38" t="s">
        <v>47</v>
      </c>
      <c r="V38" s="2">
        <v>44582.797291666669</v>
      </c>
      <c r="X38" t="s">
        <v>48</v>
      </c>
      <c r="Y38" t="s">
        <v>65</v>
      </c>
      <c r="AB38" t="s">
        <v>59</v>
      </c>
      <c r="AC38" t="s">
        <v>211</v>
      </c>
      <c r="AE38" t="s">
        <v>212</v>
      </c>
      <c r="AL38" t="s">
        <v>53</v>
      </c>
      <c r="AM38" t="s">
        <v>54</v>
      </c>
    </row>
    <row r="39" spans="1:39" x14ac:dyDescent="0.35">
      <c r="A39">
        <v>2201822</v>
      </c>
      <c r="B39" t="s">
        <v>39</v>
      </c>
      <c r="C39" t="s">
        <v>41</v>
      </c>
      <c r="D39">
        <v>2201706</v>
      </c>
      <c r="E39">
        <v>1132</v>
      </c>
      <c r="F39" t="s">
        <v>213</v>
      </c>
      <c r="G39" t="s">
        <v>41</v>
      </c>
      <c r="H39" t="s">
        <v>42</v>
      </c>
      <c r="I39" t="s">
        <v>43</v>
      </c>
      <c r="J39" s="1" t="s">
        <v>214</v>
      </c>
      <c r="K39" s="2">
        <v>44586</v>
      </c>
      <c r="L39" s="2">
        <v>44586</v>
      </c>
      <c r="M39" s="2">
        <v>44588</v>
      </c>
      <c r="N39" t="s">
        <v>215</v>
      </c>
      <c r="P39" t="s">
        <v>46</v>
      </c>
      <c r="R39" t="s">
        <v>47</v>
      </c>
      <c r="V39" s="2">
        <v>44588.690729166665</v>
      </c>
      <c r="X39" t="s">
        <v>216</v>
      </c>
      <c r="Y39" t="s">
        <v>217</v>
      </c>
      <c r="AB39" t="s">
        <v>218</v>
      </c>
      <c r="AC39" t="s">
        <v>219</v>
      </c>
      <c r="AE39" t="s">
        <v>220</v>
      </c>
      <c r="AL39" t="s">
        <v>53</v>
      </c>
      <c r="AM39" t="s">
        <v>54</v>
      </c>
    </row>
    <row r="40" spans="1:39" x14ac:dyDescent="0.35">
      <c r="A40">
        <v>2203223</v>
      </c>
      <c r="B40" t="s">
        <v>39</v>
      </c>
      <c r="C40" t="s">
        <v>41</v>
      </c>
      <c r="D40">
        <v>2203217</v>
      </c>
      <c r="E40">
        <v>1382</v>
      </c>
      <c r="F40" t="s">
        <v>204</v>
      </c>
      <c r="G40" t="s">
        <v>41</v>
      </c>
      <c r="H40" t="s">
        <v>42</v>
      </c>
      <c r="I40" t="s">
        <v>43</v>
      </c>
      <c r="J40" s="1" t="s">
        <v>221</v>
      </c>
      <c r="K40" s="2">
        <v>44613</v>
      </c>
      <c r="L40" s="2">
        <v>44613</v>
      </c>
      <c r="M40" s="2">
        <v>44613</v>
      </c>
      <c r="N40" t="s">
        <v>222</v>
      </c>
      <c r="P40" t="s">
        <v>46</v>
      </c>
      <c r="R40" t="s">
        <v>47</v>
      </c>
      <c r="V40" s="2">
        <v>44613.671712962961</v>
      </c>
      <c r="X40" t="s">
        <v>82</v>
      </c>
      <c r="Y40" t="s">
        <v>83</v>
      </c>
      <c r="AB40" t="s">
        <v>84</v>
      </c>
      <c r="AC40" t="s">
        <v>207</v>
      </c>
      <c r="AE40" s="1" t="s">
        <v>223</v>
      </c>
      <c r="AL40" t="s">
        <v>53</v>
      </c>
      <c r="AM40" t="s">
        <v>54</v>
      </c>
    </row>
    <row r="41" spans="1:39" x14ac:dyDescent="0.35">
      <c r="A41">
        <v>2204421</v>
      </c>
      <c r="B41" t="s">
        <v>39</v>
      </c>
      <c r="C41" t="s">
        <v>40</v>
      </c>
      <c r="D41">
        <v>2204368</v>
      </c>
      <c r="G41" t="s">
        <v>41</v>
      </c>
      <c r="H41" t="s">
        <v>224</v>
      </c>
      <c r="I41" t="s">
        <v>43</v>
      </c>
      <c r="J41" s="1" t="s">
        <v>225</v>
      </c>
      <c r="K41" s="2">
        <v>44630</v>
      </c>
      <c r="L41" s="2">
        <v>44631</v>
      </c>
      <c r="M41" s="2">
        <v>44631</v>
      </c>
      <c r="N41" t="s">
        <v>226</v>
      </c>
      <c r="P41" t="s">
        <v>143</v>
      </c>
      <c r="Q41" s="3">
        <v>44767</v>
      </c>
      <c r="R41" t="s">
        <v>227</v>
      </c>
      <c r="S41" t="s">
        <v>145</v>
      </c>
      <c r="T41" t="s">
        <v>228</v>
      </c>
      <c r="U41" s="2">
        <v>44733</v>
      </c>
      <c r="V41" s="2">
        <v>44736.668611111112</v>
      </c>
      <c r="X41" t="s">
        <v>82</v>
      </c>
      <c r="Y41" t="s">
        <v>175</v>
      </c>
      <c r="AA41" s="2">
        <v>44736.658333333333</v>
      </c>
      <c r="AB41" t="s">
        <v>84</v>
      </c>
      <c r="AC41" t="s">
        <v>229</v>
      </c>
      <c r="AD41" t="s">
        <v>150</v>
      </c>
      <c r="AE41" t="s">
        <v>230</v>
      </c>
      <c r="AF41" t="s">
        <v>231</v>
      </c>
      <c r="AG41" t="s">
        <v>232</v>
      </c>
      <c r="AL41" t="s">
        <v>53</v>
      </c>
      <c r="AM41" t="s">
        <v>54</v>
      </c>
    </row>
    <row r="42" spans="1:39" x14ac:dyDescent="0.35">
      <c r="A42">
        <v>2204528</v>
      </c>
      <c r="B42" t="s">
        <v>39</v>
      </c>
      <c r="C42" t="s">
        <v>40</v>
      </c>
      <c r="D42">
        <v>2204506</v>
      </c>
      <c r="G42" t="s">
        <v>41</v>
      </c>
      <c r="H42" t="s">
        <v>224</v>
      </c>
      <c r="I42" t="s">
        <v>43</v>
      </c>
      <c r="J42" s="1" t="s">
        <v>233</v>
      </c>
      <c r="K42" s="2">
        <v>44634</v>
      </c>
      <c r="L42" s="2">
        <v>44634</v>
      </c>
      <c r="M42" s="2">
        <v>44635</v>
      </c>
      <c r="N42" t="s">
        <v>234</v>
      </c>
      <c r="P42" t="s">
        <v>143</v>
      </c>
      <c r="R42" t="s">
        <v>235</v>
      </c>
      <c r="S42" t="s">
        <v>145</v>
      </c>
      <c r="T42" t="s">
        <v>228</v>
      </c>
      <c r="U42" s="2">
        <v>44686</v>
      </c>
      <c r="V42" s="2">
        <v>44707.974432870367</v>
      </c>
      <c r="X42" t="s">
        <v>236</v>
      </c>
      <c r="Y42" t="s">
        <v>237</v>
      </c>
      <c r="AA42" s="2">
        <v>44707.963194444441</v>
      </c>
      <c r="AB42">
        <v>403</v>
      </c>
      <c r="AC42" t="s">
        <v>238</v>
      </c>
      <c r="AD42" t="s">
        <v>150</v>
      </c>
      <c r="AE42" s="1" t="s">
        <v>239</v>
      </c>
      <c r="AL42" t="s">
        <v>53</v>
      </c>
      <c r="AM42" t="s">
        <v>54</v>
      </c>
    </row>
    <row r="43" spans="1:39" x14ac:dyDescent="0.35">
      <c r="A43">
        <v>2205244</v>
      </c>
      <c r="B43" t="s">
        <v>39</v>
      </c>
      <c r="C43" t="s">
        <v>40</v>
      </c>
      <c r="D43">
        <v>2205176</v>
      </c>
      <c r="G43" t="s">
        <v>41</v>
      </c>
      <c r="H43" t="s">
        <v>42</v>
      </c>
      <c r="I43" t="s">
        <v>43</v>
      </c>
      <c r="J43" s="1" t="s">
        <v>240</v>
      </c>
      <c r="K43" s="2">
        <v>44645</v>
      </c>
      <c r="L43" s="2">
        <v>44645</v>
      </c>
      <c r="M43" s="2">
        <v>44648</v>
      </c>
      <c r="N43" t="s">
        <v>241</v>
      </c>
      <c r="P43" t="s">
        <v>46</v>
      </c>
      <c r="R43" t="s">
        <v>47</v>
      </c>
      <c r="V43" s="2">
        <v>44648.741736111115</v>
      </c>
      <c r="X43" t="s">
        <v>48</v>
      </c>
      <c r="Y43" t="s">
        <v>65</v>
      </c>
      <c r="AB43" t="s">
        <v>218</v>
      </c>
      <c r="AC43" t="s">
        <v>242</v>
      </c>
      <c r="AE43" s="1" t="s">
        <v>243</v>
      </c>
      <c r="AL43" t="s">
        <v>53</v>
      </c>
      <c r="AM43" t="s">
        <v>54</v>
      </c>
    </row>
    <row r="44" spans="1:39" x14ac:dyDescent="0.35">
      <c r="A44">
        <v>2205386</v>
      </c>
      <c r="B44" t="s">
        <v>39</v>
      </c>
      <c r="C44" t="s">
        <v>41</v>
      </c>
      <c r="D44">
        <v>2205299</v>
      </c>
      <c r="E44">
        <v>1256</v>
      </c>
      <c r="F44" t="s">
        <v>244</v>
      </c>
      <c r="G44" t="s">
        <v>41</v>
      </c>
      <c r="H44" t="s">
        <v>42</v>
      </c>
      <c r="I44" t="s">
        <v>43</v>
      </c>
      <c r="J44" s="1" t="s">
        <v>245</v>
      </c>
      <c r="K44" s="2">
        <v>44640</v>
      </c>
      <c r="L44" s="2">
        <v>44649</v>
      </c>
      <c r="M44" s="2">
        <v>44650</v>
      </c>
      <c r="N44" t="s">
        <v>246</v>
      </c>
      <c r="P44" t="s">
        <v>46</v>
      </c>
      <c r="R44" t="s">
        <v>47</v>
      </c>
      <c r="V44" s="2">
        <v>44650.497719907406</v>
      </c>
      <c r="X44" t="s">
        <v>48</v>
      </c>
      <c r="Y44" t="s">
        <v>65</v>
      </c>
      <c r="AB44" t="s">
        <v>247</v>
      </c>
      <c r="AC44" t="s">
        <v>248</v>
      </c>
      <c r="AE44" t="s">
        <v>249</v>
      </c>
      <c r="AL44" t="s">
        <v>53</v>
      </c>
      <c r="AM44" t="s">
        <v>54</v>
      </c>
    </row>
    <row r="45" spans="1:39" x14ac:dyDescent="0.35">
      <c r="A45">
        <v>2205386</v>
      </c>
      <c r="B45" t="s">
        <v>39</v>
      </c>
      <c r="C45" t="s">
        <v>40</v>
      </c>
      <c r="D45">
        <v>2205299</v>
      </c>
      <c r="G45" t="s">
        <v>41</v>
      </c>
      <c r="H45" t="s">
        <v>42</v>
      </c>
      <c r="I45" t="s">
        <v>43</v>
      </c>
      <c r="J45" s="1" t="s">
        <v>245</v>
      </c>
      <c r="K45" s="2">
        <v>44640</v>
      </c>
      <c r="L45" s="2">
        <v>44649</v>
      </c>
      <c r="M45" s="2">
        <v>44650</v>
      </c>
      <c r="N45" t="s">
        <v>246</v>
      </c>
      <c r="P45" t="s">
        <v>46</v>
      </c>
      <c r="R45" t="s">
        <v>47</v>
      </c>
      <c r="V45" s="2">
        <v>44650.497719907406</v>
      </c>
      <c r="X45" t="s">
        <v>48</v>
      </c>
      <c r="Y45" t="s">
        <v>65</v>
      </c>
      <c r="AB45" t="s">
        <v>247</v>
      </c>
      <c r="AC45" t="s">
        <v>248</v>
      </c>
      <c r="AE45" t="s">
        <v>249</v>
      </c>
      <c r="AL45" t="s">
        <v>53</v>
      </c>
      <c r="AM45" t="s">
        <v>54</v>
      </c>
    </row>
    <row r="46" spans="1:39" x14ac:dyDescent="0.35">
      <c r="A46">
        <v>2205537</v>
      </c>
      <c r="B46" t="s">
        <v>39</v>
      </c>
      <c r="C46" t="s">
        <v>40</v>
      </c>
      <c r="D46">
        <v>2205502</v>
      </c>
      <c r="G46" t="s">
        <v>41</v>
      </c>
      <c r="H46" t="s">
        <v>42</v>
      </c>
      <c r="I46" t="s">
        <v>43</v>
      </c>
      <c r="J46" s="1" t="s">
        <v>250</v>
      </c>
      <c r="K46" s="2">
        <v>44650</v>
      </c>
      <c r="L46" s="2">
        <v>44651</v>
      </c>
      <c r="M46" s="2">
        <v>44651</v>
      </c>
      <c r="N46" t="s">
        <v>251</v>
      </c>
      <c r="P46" t="s">
        <v>46</v>
      </c>
      <c r="R46" t="s">
        <v>47</v>
      </c>
      <c r="V46" s="2">
        <v>44651.877500000002</v>
      </c>
      <c r="X46" t="s">
        <v>48</v>
      </c>
      <c r="Y46" t="s">
        <v>49</v>
      </c>
      <c r="AB46" t="s">
        <v>59</v>
      </c>
      <c r="AC46" t="s">
        <v>202</v>
      </c>
      <c r="AE46" s="1" t="s">
        <v>252</v>
      </c>
      <c r="AL46" t="s">
        <v>53</v>
      </c>
      <c r="AM46" t="s">
        <v>54</v>
      </c>
    </row>
    <row r="47" spans="1:39" x14ac:dyDescent="0.35">
      <c r="A47">
        <v>2206063</v>
      </c>
      <c r="B47" t="s">
        <v>39</v>
      </c>
      <c r="C47" t="s">
        <v>41</v>
      </c>
      <c r="D47">
        <v>2205993</v>
      </c>
      <c r="E47">
        <v>1411</v>
      </c>
      <c r="F47" t="s">
        <v>253</v>
      </c>
      <c r="G47" t="s">
        <v>41</v>
      </c>
      <c r="H47" t="s">
        <v>42</v>
      </c>
      <c r="I47" t="s">
        <v>43</v>
      </c>
      <c r="J47" s="1" t="s">
        <v>254</v>
      </c>
      <c r="K47" s="2">
        <v>44659</v>
      </c>
      <c r="L47" s="2">
        <v>44659</v>
      </c>
      <c r="M47" s="2">
        <v>44662</v>
      </c>
      <c r="N47" t="s">
        <v>255</v>
      </c>
      <c r="P47" t="s">
        <v>46</v>
      </c>
      <c r="R47" t="s">
        <v>47</v>
      </c>
      <c r="V47" s="2">
        <v>44662.653819444444</v>
      </c>
      <c r="X47" t="s">
        <v>256</v>
      </c>
      <c r="Y47" t="s">
        <v>257</v>
      </c>
      <c r="AB47" t="s">
        <v>258</v>
      </c>
      <c r="AC47" t="s">
        <v>259</v>
      </c>
      <c r="AE47" s="1" t="s">
        <v>260</v>
      </c>
      <c r="AL47" t="s">
        <v>53</v>
      </c>
      <c r="AM47" t="s">
        <v>54</v>
      </c>
    </row>
    <row r="48" spans="1:39" x14ac:dyDescent="0.35">
      <c r="A48">
        <v>2206063</v>
      </c>
      <c r="B48" t="s">
        <v>39</v>
      </c>
      <c r="C48" t="s">
        <v>40</v>
      </c>
      <c r="D48">
        <v>2205993</v>
      </c>
      <c r="G48" t="s">
        <v>41</v>
      </c>
      <c r="H48" t="s">
        <v>42</v>
      </c>
      <c r="I48" t="s">
        <v>43</v>
      </c>
      <c r="J48" s="1" t="s">
        <v>254</v>
      </c>
      <c r="K48" s="2">
        <v>44659</v>
      </c>
      <c r="L48" s="2">
        <v>44659</v>
      </c>
      <c r="M48" s="2">
        <v>44662</v>
      </c>
      <c r="N48" t="s">
        <v>255</v>
      </c>
      <c r="P48" t="s">
        <v>46</v>
      </c>
      <c r="R48" t="s">
        <v>47</v>
      </c>
      <c r="V48" s="2">
        <v>44662.653819444444</v>
      </c>
      <c r="X48" t="s">
        <v>256</v>
      </c>
      <c r="Y48" t="s">
        <v>257</v>
      </c>
      <c r="AB48" t="s">
        <v>258</v>
      </c>
      <c r="AC48" t="s">
        <v>259</v>
      </c>
      <c r="AE48" s="1" t="s">
        <v>260</v>
      </c>
      <c r="AL48" t="s">
        <v>53</v>
      </c>
      <c r="AM48" t="s">
        <v>54</v>
      </c>
    </row>
    <row r="49" spans="1:39" x14ac:dyDescent="0.35">
      <c r="A49">
        <v>2206773</v>
      </c>
      <c r="B49" t="s">
        <v>39</v>
      </c>
      <c r="C49" t="s">
        <v>41</v>
      </c>
      <c r="D49">
        <v>2206731</v>
      </c>
      <c r="E49">
        <v>1300</v>
      </c>
      <c r="F49" t="s">
        <v>261</v>
      </c>
      <c r="G49" t="s">
        <v>41</v>
      </c>
      <c r="H49" t="s">
        <v>42</v>
      </c>
      <c r="I49" t="s">
        <v>43</v>
      </c>
      <c r="J49" s="1" t="s">
        <v>262</v>
      </c>
      <c r="K49" s="2">
        <v>44676</v>
      </c>
      <c r="L49" s="2">
        <v>44676</v>
      </c>
      <c r="M49" s="2">
        <v>44676</v>
      </c>
      <c r="N49" t="s">
        <v>263</v>
      </c>
      <c r="P49" t="s">
        <v>46</v>
      </c>
      <c r="R49" t="s">
        <v>47</v>
      </c>
      <c r="V49" s="2">
        <v>44676.731736111113</v>
      </c>
      <c r="X49" t="s">
        <v>76</v>
      </c>
      <c r="Y49" t="s">
        <v>77</v>
      </c>
      <c r="AB49" t="s">
        <v>264</v>
      </c>
      <c r="AC49" t="s">
        <v>85</v>
      </c>
      <c r="AE49" t="s">
        <v>265</v>
      </c>
      <c r="AL49" t="s">
        <v>53</v>
      </c>
      <c r="AM49" t="s">
        <v>54</v>
      </c>
    </row>
    <row r="50" spans="1:39" x14ac:dyDescent="0.35">
      <c r="A50">
        <v>2206872</v>
      </c>
      <c r="B50" t="s">
        <v>39</v>
      </c>
      <c r="C50" t="s">
        <v>41</v>
      </c>
      <c r="D50">
        <v>2206859</v>
      </c>
      <c r="E50">
        <v>1411</v>
      </c>
      <c r="F50" t="s">
        <v>253</v>
      </c>
      <c r="G50" t="s">
        <v>41</v>
      </c>
      <c r="H50" t="s">
        <v>42</v>
      </c>
      <c r="I50" t="s">
        <v>43</v>
      </c>
      <c r="J50" s="1" t="s">
        <v>266</v>
      </c>
      <c r="K50" s="2">
        <v>44677</v>
      </c>
      <c r="L50" s="2">
        <v>44678</v>
      </c>
      <c r="M50" s="2">
        <v>44678</v>
      </c>
      <c r="N50" t="s">
        <v>267</v>
      </c>
      <c r="P50" t="s">
        <v>46</v>
      </c>
      <c r="R50" t="s">
        <v>47</v>
      </c>
      <c r="V50" s="2">
        <v>44678.707280092596</v>
      </c>
      <c r="X50" t="s">
        <v>256</v>
      </c>
      <c r="Y50" t="s">
        <v>257</v>
      </c>
      <c r="AB50" t="s">
        <v>218</v>
      </c>
      <c r="AC50" t="s">
        <v>259</v>
      </c>
      <c r="AE50" s="1" t="s">
        <v>268</v>
      </c>
      <c r="AL50" t="s">
        <v>53</v>
      </c>
      <c r="AM50" t="s">
        <v>54</v>
      </c>
    </row>
    <row r="51" spans="1:39" x14ac:dyDescent="0.35">
      <c r="A51">
        <v>2206872</v>
      </c>
      <c r="B51" t="s">
        <v>39</v>
      </c>
      <c r="C51" t="s">
        <v>40</v>
      </c>
      <c r="D51">
        <v>2206859</v>
      </c>
      <c r="G51" t="s">
        <v>41</v>
      </c>
      <c r="H51" t="s">
        <v>42</v>
      </c>
      <c r="I51" t="s">
        <v>43</v>
      </c>
      <c r="J51" s="1" t="s">
        <v>266</v>
      </c>
      <c r="K51" s="2">
        <v>44677</v>
      </c>
      <c r="L51" s="2">
        <v>44678</v>
      </c>
      <c r="M51" s="2">
        <v>44678</v>
      </c>
      <c r="N51" t="s">
        <v>267</v>
      </c>
      <c r="P51" t="s">
        <v>46</v>
      </c>
      <c r="R51" t="s">
        <v>47</v>
      </c>
      <c r="V51" s="2">
        <v>44678.707280092596</v>
      </c>
      <c r="X51" t="s">
        <v>256</v>
      </c>
      <c r="Y51" t="s">
        <v>257</v>
      </c>
      <c r="AB51" t="s">
        <v>218</v>
      </c>
      <c r="AC51" t="s">
        <v>259</v>
      </c>
      <c r="AE51" s="1" t="s">
        <v>268</v>
      </c>
      <c r="AL51" t="s">
        <v>53</v>
      </c>
      <c r="AM51" t="s">
        <v>54</v>
      </c>
    </row>
    <row r="52" spans="1:39" x14ac:dyDescent="0.35">
      <c r="A52">
        <v>2206938</v>
      </c>
      <c r="B52" t="s">
        <v>39</v>
      </c>
      <c r="C52" t="s">
        <v>41</v>
      </c>
      <c r="D52">
        <v>2206918</v>
      </c>
      <c r="E52">
        <v>1411</v>
      </c>
      <c r="F52" t="s">
        <v>253</v>
      </c>
      <c r="G52" t="s">
        <v>41</v>
      </c>
      <c r="H52" t="s">
        <v>42</v>
      </c>
      <c r="I52" t="s">
        <v>43</v>
      </c>
      <c r="J52" s="1" t="s">
        <v>269</v>
      </c>
      <c r="K52" s="2">
        <v>44679</v>
      </c>
      <c r="L52" s="2">
        <v>44679</v>
      </c>
      <c r="M52" s="2">
        <v>44679</v>
      </c>
      <c r="N52" t="s">
        <v>270</v>
      </c>
      <c r="P52" t="s">
        <v>46</v>
      </c>
      <c r="R52" t="s">
        <v>47</v>
      </c>
      <c r="V52" s="2">
        <v>44679.770358796297</v>
      </c>
      <c r="X52" t="s">
        <v>48</v>
      </c>
      <c r="Y52" t="s">
        <v>49</v>
      </c>
      <c r="AB52" t="s">
        <v>78</v>
      </c>
      <c r="AC52" t="s">
        <v>259</v>
      </c>
      <c r="AE52" s="1" t="s">
        <v>271</v>
      </c>
      <c r="AL52" t="s">
        <v>53</v>
      </c>
      <c r="AM52" t="s">
        <v>54</v>
      </c>
    </row>
    <row r="53" spans="1:39" x14ac:dyDescent="0.35">
      <c r="A53">
        <v>2208135</v>
      </c>
      <c r="B53" t="s">
        <v>39</v>
      </c>
      <c r="C53" t="s">
        <v>40</v>
      </c>
      <c r="D53">
        <v>2208124</v>
      </c>
      <c r="G53" t="s">
        <v>41</v>
      </c>
      <c r="H53" t="s">
        <v>42</v>
      </c>
      <c r="I53" t="s">
        <v>43</v>
      </c>
      <c r="J53" s="1" t="s">
        <v>272</v>
      </c>
      <c r="K53" s="2">
        <v>44697</v>
      </c>
      <c r="L53" s="2">
        <v>44700</v>
      </c>
      <c r="M53" s="2">
        <v>44700</v>
      </c>
      <c r="N53" t="s">
        <v>273</v>
      </c>
      <c r="P53" t="s">
        <v>46</v>
      </c>
      <c r="R53" t="s">
        <v>47</v>
      </c>
      <c r="V53" s="2">
        <v>44700.629363425927</v>
      </c>
      <c r="X53" t="s">
        <v>216</v>
      </c>
      <c r="Y53" t="s">
        <v>217</v>
      </c>
      <c r="AB53" t="s">
        <v>264</v>
      </c>
      <c r="AC53" t="s">
        <v>274</v>
      </c>
      <c r="AE53" s="1" t="s">
        <v>275</v>
      </c>
      <c r="AL53" t="s">
        <v>53</v>
      </c>
      <c r="AM53" t="s">
        <v>54</v>
      </c>
    </row>
    <row r="54" spans="1:39" x14ac:dyDescent="0.35">
      <c r="A54">
        <v>2208244</v>
      </c>
      <c r="B54" t="s">
        <v>39</v>
      </c>
      <c r="C54" t="s">
        <v>40</v>
      </c>
      <c r="D54">
        <v>2208209</v>
      </c>
      <c r="G54" t="s">
        <v>41</v>
      </c>
      <c r="H54" t="s">
        <v>42</v>
      </c>
      <c r="I54" t="s">
        <v>43</v>
      </c>
      <c r="J54" s="1" t="s">
        <v>276</v>
      </c>
      <c r="K54" s="2">
        <v>44701</v>
      </c>
      <c r="L54" s="2">
        <v>44701</v>
      </c>
      <c r="M54" s="2">
        <v>44701</v>
      </c>
      <c r="N54" t="s">
        <v>277</v>
      </c>
      <c r="P54" t="s">
        <v>46</v>
      </c>
      <c r="R54" t="s">
        <v>47</v>
      </c>
      <c r="V54" s="2">
        <v>44701.678182870368</v>
      </c>
      <c r="X54" t="s">
        <v>48</v>
      </c>
      <c r="Y54" t="s">
        <v>65</v>
      </c>
      <c r="AB54" t="s">
        <v>59</v>
      </c>
      <c r="AC54" t="s">
        <v>189</v>
      </c>
      <c r="AE54" s="1" t="s">
        <v>278</v>
      </c>
      <c r="AL54" t="s">
        <v>53</v>
      </c>
      <c r="AM54" t="s">
        <v>54</v>
      </c>
    </row>
    <row r="55" spans="1:39" x14ac:dyDescent="0.35">
      <c r="A55">
        <v>2208254</v>
      </c>
      <c r="B55" t="s">
        <v>39</v>
      </c>
      <c r="C55" t="s">
        <v>41</v>
      </c>
      <c r="D55">
        <v>2208213</v>
      </c>
      <c r="E55">
        <v>1253</v>
      </c>
      <c r="F55" t="s">
        <v>279</v>
      </c>
      <c r="G55" t="s">
        <v>41</v>
      </c>
      <c r="H55" t="s">
        <v>42</v>
      </c>
      <c r="I55" t="s">
        <v>43</v>
      </c>
      <c r="J55" s="1" t="s">
        <v>280</v>
      </c>
      <c r="K55" s="2">
        <v>44699</v>
      </c>
      <c r="L55" s="2">
        <v>44701</v>
      </c>
      <c r="M55" s="2">
        <v>44701</v>
      </c>
      <c r="N55" t="s">
        <v>281</v>
      </c>
      <c r="P55" t="s">
        <v>46</v>
      </c>
      <c r="R55" t="s">
        <v>47</v>
      </c>
      <c r="V55" s="2">
        <v>44701.702141203707</v>
      </c>
      <c r="X55" t="s">
        <v>82</v>
      </c>
      <c r="Y55" t="s">
        <v>175</v>
      </c>
      <c r="AB55" t="s">
        <v>84</v>
      </c>
      <c r="AC55" t="s">
        <v>189</v>
      </c>
      <c r="AE55" s="1" t="s">
        <v>282</v>
      </c>
      <c r="AL55" t="s">
        <v>53</v>
      </c>
      <c r="AM55" t="s">
        <v>54</v>
      </c>
    </row>
    <row r="56" spans="1:39" x14ac:dyDescent="0.35">
      <c r="A56">
        <v>2208254</v>
      </c>
      <c r="B56" t="s">
        <v>39</v>
      </c>
      <c r="C56" t="s">
        <v>40</v>
      </c>
      <c r="D56">
        <v>2208213</v>
      </c>
      <c r="G56" t="s">
        <v>41</v>
      </c>
      <c r="H56" t="s">
        <v>42</v>
      </c>
      <c r="I56" t="s">
        <v>43</v>
      </c>
      <c r="J56" s="1" t="s">
        <v>280</v>
      </c>
      <c r="K56" s="2">
        <v>44699</v>
      </c>
      <c r="L56" s="2">
        <v>44701</v>
      </c>
      <c r="M56" s="2">
        <v>44701</v>
      </c>
      <c r="N56" t="s">
        <v>281</v>
      </c>
      <c r="P56" t="s">
        <v>46</v>
      </c>
      <c r="R56" t="s">
        <v>47</v>
      </c>
      <c r="V56" s="2">
        <v>44701.702141203707</v>
      </c>
      <c r="X56" t="s">
        <v>82</v>
      </c>
      <c r="Y56" t="s">
        <v>175</v>
      </c>
      <c r="AB56" t="s">
        <v>84</v>
      </c>
      <c r="AC56" t="s">
        <v>189</v>
      </c>
      <c r="AE56" s="1" t="s">
        <v>282</v>
      </c>
      <c r="AL56" t="s">
        <v>53</v>
      </c>
      <c r="AM56" t="s">
        <v>54</v>
      </c>
    </row>
    <row r="57" spans="1:39" x14ac:dyDescent="0.35">
      <c r="A57">
        <v>2208257</v>
      </c>
      <c r="B57" t="s">
        <v>39</v>
      </c>
      <c r="C57" t="s">
        <v>41</v>
      </c>
      <c r="D57">
        <v>2208215</v>
      </c>
      <c r="E57">
        <v>1307</v>
      </c>
      <c r="F57" t="s">
        <v>283</v>
      </c>
      <c r="G57" t="s">
        <v>41</v>
      </c>
      <c r="H57" t="s">
        <v>42</v>
      </c>
      <c r="I57" t="s">
        <v>43</v>
      </c>
      <c r="J57" s="1" t="s">
        <v>284</v>
      </c>
      <c r="K57" s="2">
        <v>44701</v>
      </c>
      <c r="L57" s="2">
        <v>44701</v>
      </c>
      <c r="M57" s="2">
        <v>44701</v>
      </c>
      <c r="N57" t="s">
        <v>285</v>
      </c>
      <c r="P57" t="s">
        <v>46</v>
      </c>
      <c r="R57" t="s">
        <v>47</v>
      </c>
      <c r="V57" s="2">
        <v>44701.716828703706</v>
      </c>
      <c r="X57" t="s">
        <v>82</v>
      </c>
      <c r="Y57" t="s">
        <v>83</v>
      </c>
      <c r="AB57" t="s">
        <v>84</v>
      </c>
      <c r="AC57" t="s">
        <v>286</v>
      </c>
      <c r="AE57" s="1" t="s">
        <v>287</v>
      </c>
      <c r="AL57" t="s">
        <v>53</v>
      </c>
      <c r="AM57" t="s">
        <v>54</v>
      </c>
    </row>
    <row r="58" spans="1:39" x14ac:dyDescent="0.35">
      <c r="A58">
        <v>2208257</v>
      </c>
      <c r="B58" t="s">
        <v>39</v>
      </c>
      <c r="C58" t="s">
        <v>40</v>
      </c>
      <c r="D58">
        <v>2208215</v>
      </c>
      <c r="G58" t="s">
        <v>41</v>
      </c>
      <c r="H58" t="s">
        <v>42</v>
      </c>
      <c r="I58" t="s">
        <v>43</v>
      </c>
      <c r="J58" s="1" t="s">
        <v>284</v>
      </c>
      <c r="K58" s="2">
        <v>44701</v>
      </c>
      <c r="L58" s="2">
        <v>44701</v>
      </c>
      <c r="M58" s="2">
        <v>44701</v>
      </c>
      <c r="N58" t="s">
        <v>285</v>
      </c>
      <c r="P58" t="s">
        <v>46</v>
      </c>
      <c r="R58" t="s">
        <v>47</v>
      </c>
      <c r="V58" s="2">
        <v>44701.716828703706</v>
      </c>
      <c r="X58" t="s">
        <v>82</v>
      </c>
      <c r="Y58" t="s">
        <v>83</v>
      </c>
      <c r="AB58" t="s">
        <v>84</v>
      </c>
      <c r="AC58" t="s">
        <v>286</v>
      </c>
      <c r="AE58" s="1" t="s">
        <v>287</v>
      </c>
      <c r="AL58" t="s">
        <v>53</v>
      </c>
      <c r="AM58" t="s">
        <v>54</v>
      </c>
    </row>
    <row r="59" spans="1:39" x14ac:dyDescent="0.35">
      <c r="A59">
        <v>2209227</v>
      </c>
      <c r="B59" t="s">
        <v>39</v>
      </c>
      <c r="C59" t="s">
        <v>41</v>
      </c>
      <c r="D59">
        <v>2209195</v>
      </c>
      <c r="E59">
        <v>1383</v>
      </c>
      <c r="F59" t="s">
        <v>288</v>
      </c>
      <c r="G59" t="s">
        <v>41</v>
      </c>
      <c r="H59" t="s">
        <v>42</v>
      </c>
      <c r="I59" t="s">
        <v>43</v>
      </c>
      <c r="J59" s="1" t="s">
        <v>289</v>
      </c>
      <c r="K59" s="2">
        <v>44721</v>
      </c>
      <c r="L59" s="2">
        <v>44721</v>
      </c>
      <c r="M59" s="2">
        <v>44722</v>
      </c>
      <c r="N59" t="s">
        <v>290</v>
      </c>
      <c r="P59" t="s">
        <v>46</v>
      </c>
      <c r="R59" t="s">
        <v>47</v>
      </c>
      <c r="V59" s="2">
        <v>44722.644687499997</v>
      </c>
      <c r="X59" t="s">
        <v>82</v>
      </c>
      <c r="Y59" t="s">
        <v>83</v>
      </c>
      <c r="AB59" t="s">
        <v>84</v>
      </c>
      <c r="AC59" t="s">
        <v>207</v>
      </c>
      <c r="AE59" s="1" t="s">
        <v>291</v>
      </c>
      <c r="AL59" t="s">
        <v>53</v>
      </c>
      <c r="AM59" t="s">
        <v>54</v>
      </c>
    </row>
    <row r="60" spans="1:39" x14ac:dyDescent="0.35">
      <c r="A60">
        <v>2209524</v>
      </c>
      <c r="B60" t="s">
        <v>39</v>
      </c>
      <c r="C60" t="s">
        <v>41</v>
      </c>
      <c r="D60">
        <v>2209476</v>
      </c>
      <c r="E60">
        <v>1001</v>
      </c>
      <c r="F60" t="s">
        <v>292</v>
      </c>
      <c r="G60" t="s">
        <v>41</v>
      </c>
      <c r="H60" t="s">
        <v>42</v>
      </c>
      <c r="I60" t="s">
        <v>43</v>
      </c>
      <c r="J60" s="1" t="s">
        <v>293</v>
      </c>
      <c r="K60" s="2">
        <v>44646</v>
      </c>
      <c r="L60" s="2">
        <v>44727</v>
      </c>
      <c r="M60" s="2">
        <v>44728</v>
      </c>
      <c r="N60" t="s">
        <v>294</v>
      </c>
      <c r="P60" t="s">
        <v>46</v>
      </c>
      <c r="R60" t="s">
        <v>47</v>
      </c>
      <c r="V60" s="2">
        <v>44728.688356481478</v>
      </c>
      <c r="X60" t="s">
        <v>216</v>
      </c>
      <c r="Y60" t="s">
        <v>295</v>
      </c>
      <c r="AB60" t="s">
        <v>218</v>
      </c>
      <c r="AC60" t="s">
        <v>242</v>
      </c>
      <c r="AE60" s="1" t="s">
        <v>296</v>
      </c>
      <c r="AL60" t="s">
        <v>53</v>
      </c>
      <c r="AM60" t="s">
        <v>54</v>
      </c>
    </row>
    <row r="61" spans="1:39" x14ac:dyDescent="0.35">
      <c r="A61">
        <v>2209524</v>
      </c>
      <c r="B61" t="s">
        <v>39</v>
      </c>
      <c r="C61" t="s">
        <v>40</v>
      </c>
      <c r="D61">
        <v>2209476</v>
      </c>
      <c r="G61" t="s">
        <v>41</v>
      </c>
      <c r="H61" t="s">
        <v>42</v>
      </c>
      <c r="I61" t="s">
        <v>43</v>
      </c>
      <c r="J61" s="1" t="s">
        <v>293</v>
      </c>
      <c r="K61" s="2">
        <v>44646</v>
      </c>
      <c r="L61" s="2">
        <v>44727</v>
      </c>
      <c r="M61" s="2">
        <v>44728</v>
      </c>
      <c r="N61" t="s">
        <v>294</v>
      </c>
      <c r="P61" t="s">
        <v>46</v>
      </c>
      <c r="R61" t="s">
        <v>47</v>
      </c>
      <c r="V61" s="2">
        <v>44728.688356481478</v>
      </c>
      <c r="X61" t="s">
        <v>216</v>
      </c>
      <c r="Y61" t="s">
        <v>295</v>
      </c>
      <c r="AB61" t="s">
        <v>218</v>
      </c>
      <c r="AC61" t="s">
        <v>242</v>
      </c>
      <c r="AE61" s="1" t="s">
        <v>296</v>
      </c>
      <c r="AL61" t="s">
        <v>53</v>
      </c>
      <c r="AM61" t="s">
        <v>54</v>
      </c>
    </row>
    <row r="62" spans="1:39" x14ac:dyDescent="0.35">
      <c r="A62">
        <v>2209700</v>
      </c>
      <c r="B62" t="s">
        <v>39</v>
      </c>
      <c r="C62" t="s">
        <v>41</v>
      </c>
      <c r="D62">
        <v>2209677</v>
      </c>
      <c r="E62">
        <v>1349</v>
      </c>
      <c r="F62" t="s">
        <v>297</v>
      </c>
      <c r="G62" t="s">
        <v>41</v>
      </c>
      <c r="H62" t="s">
        <v>42</v>
      </c>
      <c r="I62" t="s">
        <v>43</v>
      </c>
      <c r="J62" s="1" t="s">
        <v>298</v>
      </c>
      <c r="K62" s="2">
        <v>44728</v>
      </c>
      <c r="L62" s="2">
        <v>44732</v>
      </c>
      <c r="M62" s="2">
        <v>44733</v>
      </c>
      <c r="N62" t="s">
        <v>299</v>
      </c>
      <c r="P62" t="s">
        <v>46</v>
      </c>
      <c r="R62" t="s">
        <v>47</v>
      </c>
      <c r="V62" s="2">
        <v>44733.663310185184</v>
      </c>
      <c r="X62" t="s">
        <v>76</v>
      </c>
      <c r="Y62" t="s">
        <v>77</v>
      </c>
      <c r="AB62" t="s">
        <v>264</v>
      </c>
      <c r="AC62" t="s">
        <v>242</v>
      </c>
      <c r="AE62" s="1" t="s">
        <v>300</v>
      </c>
      <c r="AL62" t="s">
        <v>53</v>
      </c>
      <c r="AM62" t="s">
        <v>54</v>
      </c>
    </row>
    <row r="63" spans="1:39" x14ac:dyDescent="0.35">
      <c r="A63">
        <v>2209700</v>
      </c>
      <c r="B63" t="s">
        <v>39</v>
      </c>
      <c r="C63" t="s">
        <v>40</v>
      </c>
      <c r="D63">
        <v>2209677</v>
      </c>
      <c r="G63" t="s">
        <v>41</v>
      </c>
      <c r="H63" t="s">
        <v>42</v>
      </c>
      <c r="I63" t="s">
        <v>43</v>
      </c>
      <c r="J63" s="1" t="s">
        <v>298</v>
      </c>
      <c r="K63" s="2">
        <v>44728</v>
      </c>
      <c r="L63" s="2">
        <v>44732</v>
      </c>
      <c r="M63" s="2">
        <v>44733</v>
      </c>
      <c r="N63" t="s">
        <v>299</v>
      </c>
      <c r="P63" t="s">
        <v>46</v>
      </c>
      <c r="R63" t="s">
        <v>47</v>
      </c>
      <c r="V63" s="2">
        <v>44733.663310185184</v>
      </c>
      <c r="X63" t="s">
        <v>76</v>
      </c>
      <c r="Y63" t="s">
        <v>77</v>
      </c>
      <c r="AB63" t="s">
        <v>264</v>
      </c>
      <c r="AC63" t="s">
        <v>242</v>
      </c>
      <c r="AE63" s="1" t="s">
        <v>300</v>
      </c>
      <c r="AL63" t="s">
        <v>53</v>
      </c>
      <c r="AM63" t="s">
        <v>54</v>
      </c>
    </row>
    <row r="64" spans="1:39" x14ac:dyDescent="0.35">
      <c r="A64">
        <v>2209767</v>
      </c>
      <c r="B64" t="s">
        <v>39</v>
      </c>
      <c r="C64" t="s">
        <v>41</v>
      </c>
      <c r="D64">
        <v>2209738</v>
      </c>
      <c r="E64">
        <v>1104</v>
      </c>
      <c r="F64" t="s">
        <v>62</v>
      </c>
      <c r="G64" t="s">
        <v>41</v>
      </c>
      <c r="H64" t="s">
        <v>42</v>
      </c>
      <c r="I64" t="s">
        <v>43</v>
      </c>
      <c r="J64" s="1" t="s">
        <v>301</v>
      </c>
      <c r="K64" s="2">
        <v>44734</v>
      </c>
      <c r="L64" s="2">
        <v>44734</v>
      </c>
      <c r="M64" s="2">
        <v>44734</v>
      </c>
      <c r="N64" t="s">
        <v>302</v>
      </c>
      <c r="P64" t="s">
        <v>46</v>
      </c>
      <c r="R64" t="s">
        <v>47</v>
      </c>
      <c r="V64" s="2">
        <v>44734.692187499997</v>
      </c>
      <c r="X64" t="s">
        <v>216</v>
      </c>
      <c r="Y64" t="s">
        <v>295</v>
      </c>
      <c r="AB64" t="s">
        <v>218</v>
      </c>
      <c r="AC64" t="s">
        <v>85</v>
      </c>
      <c r="AE64" t="s">
        <v>303</v>
      </c>
      <c r="AL64" t="s">
        <v>53</v>
      </c>
      <c r="AM64" t="s">
        <v>54</v>
      </c>
    </row>
    <row r="65" spans="1:39" x14ac:dyDescent="0.35">
      <c r="A65">
        <v>2210026</v>
      </c>
      <c r="B65" t="s">
        <v>39</v>
      </c>
      <c r="C65" t="s">
        <v>41</v>
      </c>
      <c r="D65">
        <v>2210004</v>
      </c>
      <c r="E65">
        <v>1221</v>
      </c>
      <c r="F65" t="s">
        <v>304</v>
      </c>
      <c r="G65" t="s">
        <v>41</v>
      </c>
      <c r="H65" t="s">
        <v>42</v>
      </c>
      <c r="I65" t="s">
        <v>43</v>
      </c>
      <c r="J65" s="1" t="s">
        <v>305</v>
      </c>
      <c r="K65" s="2">
        <v>44739</v>
      </c>
      <c r="L65" s="2">
        <v>44739</v>
      </c>
      <c r="M65" s="2">
        <v>44739</v>
      </c>
      <c r="N65" t="s">
        <v>306</v>
      </c>
      <c r="P65" t="s">
        <v>46</v>
      </c>
      <c r="R65" t="s">
        <v>47</v>
      </c>
      <c r="V65" s="2">
        <v>44739.818958333337</v>
      </c>
      <c r="X65" t="s">
        <v>82</v>
      </c>
      <c r="Y65" t="s">
        <v>83</v>
      </c>
      <c r="AB65" t="s">
        <v>84</v>
      </c>
      <c r="AC65" t="s">
        <v>189</v>
      </c>
      <c r="AE65" t="e">
        <f>-CRA contacted Pharmacy and made a retraining- but retraining to the specific person is unfortunately no longer applicable
-CRA contacted IMPALA support and asked the specific kits unavailable for use + additional Encorafenib resupply
-CRA informed PI
-CRA will record a Protocol Deviation in Siebel
-CTM escalated the issue to local and global Pfizer
-CTM asked CRA to investigate if Ethics must be informed
-CTM asked CRA to investigate if patient took those tablets and if any AEs occurred that must be notified to Pfizer
-CTM asked CRA to check at the next Onsite IMV that Study IP is properly separated by commercial IP and really well marked as for Study purposes</f>
        <v>#NAME?</v>
      </c>
      <c r="AL65" t="s">
        <v>53</v>
      </c>
      <c r="AM65" t="s">
        <v>54</v>
      </c>
    </row>
    <row r="66" spans="1:39" x14ac:dyDescent="0.35">
      <c r="A66">
        <v>2210428</v>
      </c>
      <c r="B66" t="s">
        <v>39</v>
      </c>
      <c r="C66" t="s">
        <v>41</v>
      </c>
      <c r="D66">
        <v>2210325</v>
      </c>
      <c r="E66" t="s">
        <v>307</v>
      </c>
      <c r="F66" t="s">
        <v>308</v>
      </c>
      <c r="G66" t="s">
        <v>41</v>
      </c>
      <c r="H66" t="s">
        <v>42</v>
      </c>
      <c r="I66" t="s">
        <v>43</v>
      </c>
      <c r="J66" s="1" t="s">
        <v>309</v>
      </c>
      <c r="K66" s="2">
        <v>44743</v>
      </c>
      <c r="L66" s="2">
        <v>44743</v>
      </c>
      <c r="M66" s="2">
        <v>44747</v>
      </c>
      <c r="N66" t="s">
        <v>310</v>
      </c>
      <c r="P66" t="s">
        <v>46</v>
      </c>
      <c r="R66" t="s">
        <v>47</v>
      </c>
      <c r="V66" s="2">
        <v>44747.848020833335</v>
      </c>
      <c r="X66" t="s">
        <v>48</v>
      </c>
      <c r="Y66" t="s">
        <v>65</v>
      </c>
      <c r="AB66" t="s">
        <v>311</v>
      </c>
      <c r="AC66" t="s">
        <v>242</v>
      </c>
      <c r="AE66" s="1" t="s">
        <v>312</v>
      </c>
      <c r="AL66" t="s">
        <v>53</v>
      </c>
      <c r="AM66" t="s">
        <v>54</v>
      </c>
    </row>
    <row r="67" spans="1:39" x14ac:dyDescent="0.35">
      <c r="A67">
        <v>2210453</v>
      </c>
      <c r="B67" t="s">
        <v>39</v>
      </c>
      <c r="C67" t="s">
        <v>41</v>
      </c>
      <c r="D67">
        <v>2210346</v>
      </c>
      <c r="E67">
        <v>1139</v>
      </c>
      <c r="F67" t="s">
        <v>313</v>
      </c>
      <c r="G67" t="s">
        <v>41</v>
      </c>
      <c r="H67" t="s">
        <v>42</v>
      </c>
      <c r="I67" t="s">
        <v>43</v>
      </c>
      <c r="J67" s="1" t="s">
        <v>314</v>
      </c>
      <c r="K67" s="2">
        <v>44746</v>
      </c>
      <c r="L67" s="2">
        <v>44746</v>
      </c>
      <c r="M67" s="2">
        <v>44748</v>
      </c>
      <c r="N67" t="s">
        <v>315</v>
      </c>
      <c r="P67" t="s">
        <v>46</v>
      </c>
      <c r="R67" t="s">
        <v>47</v>
      </c>
      <c r="V67" s="2">
        <v>44748.600810185184</v>
      </c>
      <c r="X67" t="s">
        <v>82</v>
      </c>
      <c r="Y67" t="s">
        <v>175</v>
      </c>
      <c r="AB67" t="s">
        <v>84</v>
      </c>
      <c r="AC67" t="s">
        <v>316</v>
      </c>
      <c r="AE67" s="1" t="s">
        <v>317</v>
      </c>
      <c r="AL67" t="s">
        <v>53</v>
      </c>
      <c r="AM67" t="s">
        <v>54</v>
      </c>
    </row>
    <row r="68" spans="1:39" x14ac:dyDescent="0.35">
      <c r="A68">
        <v>2210453</v>
      </c>
      <c r="B68" t="s">
        <v>39</v>
      </c>
      <c r="C68" t="s">
        <v>40</v>
      </c>
      <c r="D68">
        <v>2210346</v>
      </c>
      <c r="G68" t="s">
        <v>41</v>
      </c>
      <c r="H68" t="s">
        <v>42</v>
      </c>
      <c r="I68" t="s">
        <v>43</v>
      </c>
      <c r="J68" s="1" t="s">
        <v>314</v>
      </c>
      <c r="K68" s="2">
        <v>44746</v>
      </c>
      <c r="L68" s="2">
        <v>44746</v>
      </c>
      <c r="M68" s="2">
        <v>44748</v>
      </c>
      <c r="N68" t="s">
        <v>315</v>
      </c>
      <c r="P68" t="s">
        <v>46</v>
      </c>
      <c r="R68" t="s">
        <v>47</v>
      </c>
      <c r="V68" s="2">
        <v>44748.600810185184</v>
      </c>
      <c r="X68" t="s">
        <v>82</v>
      </c>
      <c r="Y68" t="s">
        <v>175</v>
      </c>
      <c r="AB68" t="s">
        <v>84</v>
      </c>
      <c r="AC68" t="s">
        <v>316</v>
      </c>
      <c r="AE68" s="1" t="s">
        <v>317</v>
      </c>
      <c r="AL68" t="s">
        <v>53</v>
      </c>
      <c r="AM68" t="s">
        <v>54</v>
      </c>
    </row>
    <row r="69" spans="1:39" x14ac:dyDescent="0.35">
      <c r="A69">
        <v>2210461</v>
      </c>
      <c r="B69" t="s">
        <v>39</v>
      </c>
      <c r="C69" t="s">
        <v>41</v>
      </c>
      <c r="D69">
        <v>2210349</v>
      </c>
      <c r="E69">
        <v>1235</v>
      </c>
      <c r="F69" t="s">
        <v>318</v>
      </c>
      <c r="G69" t="s">
        <v>41</v>
      </c>
      <c r="H69" t="s">
        <v>42</v>
      </c>
      <c r="I69" t="s">
        <v>43</v>
      </c>
      <c r="J69" s="1" t="s">
        <v>319</v>
      </c>
      <c r="K69" s="2">
        <v>44743</v>
      </c>
      <c r="L69" s="2">
        <v>44746</v>
      </c>
      <c r="M69" s="2">
        <v>44748</v>
      </c>
      <c r="N69" t="s">
        <v>320</v>
      </c>
      <c r="P69" t="s">
        <v>46</v>
      </c>
      <c r="R69" t="s">
        <v>47</v>
      </c>
      <c r="V69" s="2">
        <v>44748.692569444444</v>
      </c>
      <c r="X69" t="s">
        <v>76</v>
      </c>
      <c r="Y69" t="s">
        <v>77</v>
      </c>
      <c r="AB69">
        <v>411</v>
      </c>
      <c r="AC69" t="s">
        <v>321</v>
      </c>
      <c r="AE69" t="s">
        <v>322</v>
      </c>
      <c r="AL69" t="s">
        <v>53</v>
      </c>
      <c r="AM69" t="s">
        <v>54</v>
      </c>
    </row>
    <row r="70" spans="1:39" x14ac:dyDescent="0.35">
      <c r="A70">
        <v>2210494</v>
      </c>
      <c r="B70" t="s">
        <v>39</v>
      </c>
      <c r="C70" t="s">
        <v>41</v>
      </c>
      <c r="D70">
        <v>2210438</v>
      </c>
      <c r="E70">
        <v>1229</v>
      </c>
      <c r="F70" t="s">
        <v>323</v>
      </c>
      <c r="G70" t="s">
        <v>41</v>
      </c>
      <c r="H70" t="s">
        <v>42</v>
      </c>
      <c r="I70" t="s">
        <v>43</v>
      </c>
      <c r="J70" s="1" t="s">
        <v>324</v>
      </c>
      <c r="K70" s="2">
        <v>44748</v>
      </c>
      <c r="L70" s="2">
        <v>44748</v>
      </c>
      <c r="M70" s="2">
        <v>44748</v>
      </c>
      <c r="N70" t="s">
        <v>325</v>
      </c>
      <c r="P70" t="s">
        <v>46</v>
      </c>
      <c r="R70" t="s">
        <v>47</v>
      </c>
      <c r="V70" s="2">
        <v>44748.838587962964</v>
      </c>
      <c r="X70" t="s">
        <v>94</v>
      </c>
      <c r="Y70" t="s">
        <v>162</v>
      </c>
      <c r="AB70" t="s">
        <v>78</v>
      </c>
      <c r="AC70" t="s">
        <v>326</v>
      </c>
      <c r="AE70" s="1" t="s">
        <v>327</v>
      </c>
      <c r="AL70" t="s">
        <v>53</v>
      </c>
      <c r="AM70" t="s">
        <v>54</v>
      </c>
    </row>
    <row r="71" spans="1:39" x14ac:dyDescent="0.35">
      <c r="A71">
        <v>2211044</v>
      </c>
      <c r="B71" t="s">
        <v>39</v>
      </c>
      <c r="C71" t="s">
        <v>41</v>
      </c>
      <c r="D71">
        <v>2210987</v>
      </c>
      <c r="E71">
        <v>1384</v>
      </c>
      <c r="F71" t="s">
        <v>328</v>
      </c>
      <c r="G71" t="s">
        <v>41</v>
      </c>
      <c r="H71" t="s">
        <v>42</v>
      </c>
      <c r="I71" t="s">
        <v>43</v>
      </c>
      <c r="J71" s="1" t="s">
        <v>329</v>
      </c>
      <c r="K71" s="2">
        <v>44756</v>
      </c>
      <c r="L71" s="2">
        <v>44757</v>
      </c>
      <c r="M71" s="2">
        <v>44757</v>
      </c>
      <c r="N71" t="s">
        <v>330</v>
      </c>
      <c r="P71" t="s">
        <v>46</v>
      </c>
      <c r="R71" t="s">
        <v>47</v>
      </c>
      <c r="V71" s="2">
        <v>44757.904814814814</v>
      </c>
      <c r="X71" t="s">
        <v>76</v>
      </c>
      <c r="Y71" t="s">
        <v>77</v>
      </c>
      <c r="AB71" t="s">
        <v>264</v>
      </c>
      <c r="AC71" t="s">
        <v>259</v>
      </c>
      <c r="AE71" s="1" t="s">
        <v>331</v>
      </c>
      <c r="AL71" t="s">
        <v>53</v>
      </c>
      <c r="AM71" t="s">
        <v>54</v>
      </c>
    </row>
    <row r="72" spans="1:39" x14ac:dyDescent="0.35">
      <c r="A72">
        <v>2211369</v>
      </c>
      <c r="B72" t="s">
        <v>39</v>
      </c>
      <c r="C72" t="s">
        <v>40</v>
      </c>
      <c r="D72">
        <v>2211296</v>
      </c>
      <c r="G72" t="s">
        <v>41</v>
      </c>
      <c r="H72" t="s">
        <v>42</v>
      </c>
      <c r="I72" t="s">
        <v>43</v>
      </c>
      <c r="J72" s="1" t="s">
        <v>332</v>
      </c>
      <c r="K72" s="2">
        <v>44762</v>
      </c>
      <c r="L72" s="2">
        <v>44763</v>
      </c>
      <c r="M72" s="2">
        <v>44764</v>
      </c>
      <c r="N72" t="s">
        <v>333</v>
      </c>
      <c r="P72" t="s">
        <v>46</v>
      </c>
      <c r="R72" t="s">
        <v>47</v>
      </c>
      <c r="V72" s="2">
        <v>44764.673263888886</v>
      </c>
      <c r="X72" t="s">
        <v>94</v>
      </c>
      <c r="Y72" t="s">
        <v>95</v>
      </c>
      <c r="AB72" t="s">
        <v>84</v>
      </c>
      <c r="AC72" t="s">
        <v>189</v>
      </c>
      <c r="AE72" s="1" t="s">
        <v>334</v>
      </c>
      <c r="AL72" t="s">
        <v>53</v>
      </c>
      <c r="AM72" t="s">
        <v>54</v>
      </c>
    </row>
    <row r="73" spans="1:39" x14ac:dyDescent="0.35">
      <c r="A73">
        <v>2211887</v>
      </c>
      <c r="B73" t="s">
        <v>39</v>
      </c>
      <c r="C73" t="s">
        <v>40</v>
      </c>
      <c r="D73">
        <v>2211868</v>
      </c>
      <c r="G73" t="s">
        <v>41</v>
      </c>
      <c r="H73" t="s">
        <v>42</v>
      </c>
      <c r="I73" t="s">
        <v>43</v>
      </c>
      <c r="J73" s="1" t="s">
        <v>335</v>
      </c>
      <c r="K73" s="2">
        <v>44627</v>
      </c>
      <c r="L73" s="2">
        <v>44775</v>
      </c>
      <c r="M73" s="2">
        <v>44775</v>
      </c>
      <c r="N73" t="s">
        <v>336</v>
      </c>
      <c r="P73" t="s">
        <v>46</v>
      </c>
      <c r="R73" t="s">
        <v>47</v>
      </c>
      <c r="V73" s="2">
        <v>44775.678807870368</v>
      </c>
      <c r="X73" t="s">
        <v>216</v>
      </c>
      <c r="Y73" t="s">
        <v>217</v>
      </c>
      <c r="AB73" t="s">
        <v>218</v>
      </c>
      <c r="AC73" t="s">
        <v>337</v>
      </c>
      <c r="AE73" t="s">
        <v>338</v>
      </c>
      <c r="AL73" t="s">
        <v>53</v>
      </c>
      <c r="AM73" t="s">
        <v>54</v>
      </c>
    </row>
    <row r="74" spans="1:39" x14ac:dyDescent="0.35">
      <c r="A74">
        <v>2212322</v>
      </c>
      <c r="B74" t="s">
        <v>39</v>
      </c>
      <c r="C74" t="s">
        <v>40</v>
      </c>
      <c r="D74">
        <v>2212265</v>
      </c>
      <c r="G74" t="s">
        <v>41</v>
      </c>
      <c r="H74" t="s">
        <v>42</v>
      </c>
      <c r="I74" t="s">
        <v>43</v>
      </c>
      <c r="J74" s="1" t="s">
        <v>339</v>
      </c>
      <c r="K74" s="2">
        <v>44781</v>
      </c>
      <c r="L74" s="2">
        <v>44782</v>
      </c>
      <c r="M74" s="2">
        <v>44782</v>
      </c>
      <c r="N74" t="s">
        <v>340</v>
      </c>
      <c r="P74" t="s">
        <v>46</v>
      </c>
      <c r="R74" t="s">
        <v>47</v>
      </c>
      <c r="V74" s="2">
        <v>44783.692650462966</v>
      </c>
      <c r="X74" t="s">
        <v>48</v>
      </c>
      <c r="Y74" t="s">
        <v>49</v>
      </c>
      <c r="AB74" t="s">
        <v>59</v>
      </c>
      <c r="AC74" t="s">
        <v>137</v>
      </c>
      <c r="AE74" t="s">
        <v>341</v>
      </c>
      <c r="AL74" t="s">
        <v>53</v>
      </c>
      <c r="AM74" t="s">
        <v>54</v>
      </c>
    </row>
    <row r="75" spans="1:39" x14ac:dyDescent="0.35">
      <c r="A75">
        <v>2212608</v>
      </c>
      <c r="B75" t="s">
        <v>39</v>
      </c>
      <c r="C75" t="s">
        <v>41</v>
      </c>
      <c r="D75">
        <v>2212591</v>
      </c>
      <c r="E75">
        <v>1233</v>
      </c>
      <c r="F75" t="s">
        <v>342</v>
      </c>
      <c r="G75" t="s">
        <v>41</v>
      </c>
      <c r="H75" t="s">
        <v>42</v>
      </c>
      <c r="I75" t="s">
        <v>43</v>
      </c>
      <c r="J75" s="1" t="s">
        <v>343</v>
      </c>
      <c r="K75" s="2">
        <v>44788</v>
      </c>
      <c r="L75" s="2">
        <v>44789</v>
      </c>
      <c r="M75" s="2">
        <v>44789</v>
      </c>
      <c r="N75" t="s">
        <v>344</v>
      </c>
      <c r="P75" t="s">
        <v>46</v>
      </c>
      <c r="R75" t="s">
        <v>47</v>
      </c>
      <c r="V75" s="2">
        <v>44789.697280092594</v>
      </c>
      <c r="X75" t="s">
        <v>345</v>
      </c>
      <c r="Y75" t="s">
        <v>346</v>
      </c>
      <c r="AB75" t="s">
        <v>347</v>
      </c>
      <c r="AC75" t="s">
        <v>85</v>
      </c>
      <c r="AE75" s="1" t="s">
        <v>348</v>
      </c>
      <c r="AL75" t="s">
        <v>53</v>
      </c>
      <c r="AM75" t="s">
        <v>54</v>
      </c>
    </row>
    <row r="76" spans="1:39" x14ac:dyDescent="0.35">
      <c r="A76">
        <v>2212608</v>
      </c>
      <c r="B76" t="s">
        <v>39</v>
      </c>
      <c r="C76" t="s">
        <v>40</v>
      </c>
      <c r="D76">
        <v>2212591</v>
      </c>
      <c r="G76" t="s">
        <v>41</v>
      </c>
      <c r="H76" t="s">
        <v>42</v>
      </c>
      <c r="I76" t="s">
        <v>43</v>
      </c>
      <c r="J76" s="1" t="s">
        <v>343</v>
      </c>
      <c r="K76" s="2">
        <v>44788</v>
      </c>
      <c r="L76" s="2">
        <v>44789</v>
      </c>
      <c r="M76" s="2">
        <v>44789</v>
      </c>
      <c r="N76" t="s">
        <v>344</v>
      </c>
      <c r="P76" t="s">
        <v>46</v>
      </c>
      <c r="R76" t="s">
        <v>47</v>
      </c>
      <c r="V76" s="2">
        <v>44789.697280092594</v>
      </c>
      <c r="X76" t="s">
        <v>345</v>
      </c>
      <c r="Y76" t="s">
        <v>346</v>
      </c>
      <c r="AB76" t="s">
        <v>347</v>
      </c>
      <c r="AC76" t="s">
        <v>85</v>
      </c>
      <c r="AE76" s="1" t="s">
        <v>348</v>
      </c>
      <c r="AL76" t="s">
        <v>53</v>
      </c>
      <c r="AM76" t="s">
        <v>54</v>
      </c>
    </row>
    <row r="77" spans="1:39" x14ac:dyDescent="0.35">
      <c r="A77">
        <v>2212709</v>
      </c>
      <c r="B77" t="s">
        <v>39</v>
      </c>
      <c r="C77" t="s">
        <v>41</v>
      </c>
      <c r="D77">
        <v>2212648</v>
      </c>
      <c r="E77">
        <v>1396</v>
      </c>
      <c r="F77" t="s">
        <v>349</v>
      </c>
      <c r="G77" t="s">
        <v>41</v>
      </c>
      <c r="H77" t="s">
        <v>42</v>
      </c>
      <c r="I77" t="s">
        <v>43</v>
      </c>
      <c r="J77" s="1" t="s">
        <v>350</v>
      </c>
      <c r="K77" s="2">
        <v>44789</v>
      </c>
      <c r="L77" s="2">
        <v>44790</v>
      </c>
      <c r="M77" s="2">
        <v>44790</v>
      </c>
      <c r="N77" t="s">
        <v>351</v>
      </c>
      <c r="P77" t="s">
        <v>46</v>
      </c>
      <c r="R77" t="s">
        <v>47</v>
      </c>
      <c r="V77" s="2">
        <v>44790.886874999997</v>
      </c>
      <c r="X77" t="s">
        <v>352</v>
      </c>
      <c r="Y77" t="s">
        <v>353</v>
      </c>
      <c r="AB77" t="s">
        <v>354</v>
      </c>
      <c r="AC77" t="s">
        <v>259</v>
      </c>
      <c r="AE77" s="1" t="s">
        <v>355</v>
      </c>
      <c r="AL77" t="s">
        <v>53</v>
      </c>
      <c r="AM77" t="s">
        <v>54</v>
      </c>
    </row>
    <row r="78" spans="1:39" x14ac:dyDescent="0.35">
      <c r="A78">
        <v>2212709</v>
      </c>
      <c r="B78" t="s">
        <v>39</v>
      </c>
      <c r="C78" t="s">
        <v>40</v>
      </c>
      <c r="D78">
        <v>2212648</v>
      </c>
      <c r="G78" t="s">
        <v>41</v>
      </c>
      <c r="H78" t="s">
        <v>42</v>
      </c>
      <c r="I78" t="s">
        <v>43</v>
      </c>
      <c r="J78" s="1" t="s">
        <v>350</v>
      </c>
      <c r="K78" s="2">
        <v>44789</v>
      </c>
      <c r="L78" s="2">
        <v>44790</v>
      </c>
      <c r="M78" s="2">
        <v>44790</v>
      </c>
      <c r="N78" t="s">
        <v>351</v>
      </c>
      <c r="P78" t="s">
        <v>46</v>
      </c>
      <c r="R78" t="s">
        <v>47</v>
      </c>
      <c r="V78" s="2">
        <v>44790.886874999997</v>
      </c>
      <c r="X78" t="s">
        <v>352</v>
      </c>
      <c r="Y78" t="s">
        <v>353</v>
      </c>
      <c r="AB78" t="s">
        <v>354</v>
      </c>
      <c r="AC78" t="s">
        <v>259</v>
      </c>
      <c r="AE78" s="1" t="s">
        <v>355</v>
      </c>
      <c r="AL78" t="s">
        <v>53</v>
      </c>
      <c r="AM78" t="s">
        <v>54</v>
      </c>
    </row>
    <row r="79" spans="1:39" x14ac:dyDescent="0.35">
      <c r="A79">
        <v>2212930</v>
      </c>
      <c r="B79" t="s">
        <v>39</v>
      </c>
      <c r="C79" t="s">
        <v>41</v>
      </c>
      <c r="D79">
        <v>2212904</v>
      </c>
      <c r="E79">
        <v>1347</v>
      </c>
      <c r="F79" t="s">
        <v>356</v>
      </c>
      <c r="G79" t="s">
        <v>41</v>
      </c>
      <c r="H79" t="s">
        <v>42</v>
      </c>
      <c r="I79" t="s">
        <v>43</v>
      </c>
      <c r="J79" s="1" t="s">
        <v>357</v>
      </c>
      <c r="K79" s="2">
        <v>44795</v>
      </c>
      <c r="L79" s="2">
        <v>44795</v>
      </c>
      <c r="M79" s="2">
        <v>44796</v>
      </c>
      <c r="N79" t="s">
        <v>358</v>
      </c>
      <c r="P79" t="s">
        <v>46</v>
      </c>
      <c r="R79" t="s">
        <v>47</v>
      </c>
      <c r="V79" s="2">
        <v>44796.69253472222</v>
      </c>
      <c r="X79" t="s">
        <v>76</v>
      </c>
      <c r="Y79" t="s">
        <v>77</v>
      </c>
      <c r="AB79" t="s">
        <v>264</v>
      </c>
      <c r="AC79" t="s">
        <v>321</v>
      </c>
      <c r="AE79" s="1" t="s">
        <v>359</v>
      </c>
      <c r="AL79" t="s">
        <v>53</v>
      </c>
      <c r="AM79" t="s">
        <v>54</v>
      </c>
    </row>
    <row r="80" spans="1:39" x14ac:dyDescent="0.35">
      <c r="A80">
        <v>2213010</v>
      </c>
      <c r="B80" t="s">
        <v>39</v>
      </c>
      <c r="C80" t="s">
        <v>40</v>
      </c>
      <c r="D80">
        <v>2212954</v>
      </c>
      <c r="G80" t="s">
        <v>41</v>
      </c>
      <c r="H80" t="s">
        <v>42</v>
      </c>
      <c r="I80" t="s">
        <v>43</v>
      </c>
      <c r="J80" s="1" t="s">
        <v>360</v>
      </c>
      <c r="K80" s="2">
        <v>44777</v>
      </c>
      <c r="L80" s="2">
        <v>44796</v>
      </c>
      <c r="M80" s="2">
        <v>44797</v>
      </c>
      <c r="N80" t="s">
        <v>361</v>
      </c>
      <c r="P80" t="s">
        <v>46</v>
      </c>
      <c r="R80" t="s">
        <v>47</v>
      </c>
      <c r="V80" s="2">
        <v>44797.741180555553</v>
      </c>
      <c r="X80" t="s">
        <v>94</v>
      </c>
      <c r="Y80" t="s">
        <v>95</v>
      </c>
      <c r="AB80" t="s">
        <v>78</v>
      </c>
      <c r="AC80" t="s">
        <v>362</v>
      </c>
      <c r="AE80" s="1" t="s">
        <v>363</v>
      </c>
      <c r="AL80" t="s">
        <v>53</v>
      </c>
      <c r="AM80" t="s">
        <v>54</v>
      </c>
    </row>
    <row r="81" spans="1:39" x14ac:dyDescent="0.35">
      <c r="A81">
        <v>2213070</v>
      </c>
      <c r="B81" t="s">
        <v>39</v>
      </c>
      <c r="C81" t="s">
        <v>41</v>
      </c>
      <c r="D81">
        <v>2213009</v>
      </c>
      <c r="E81">
        <v>1130</v>
      </c>
      <c r="F81" t="s">
        <v>364</v>
      </c>
      <c r="G81" t="s">
        <v>41</v>
      </c>
      <c r="H81" t="s">
        <v>42</v>
      </c>
      <c r="I81" t="s">
        <v>43</v>
      </c>
      <c r="J81" s="1" t="s">
        <v>365</v>
      </c>
      <c r="K81" s="2">
        <v>44796</v>
      </c>
      <c r="L81" s="2">
        <v>44797</v>
      </c>
      <c r="M81" s="2">
        <v>44798</v>
      </c>
      <c r="N81" t="s">
        <v>366</v>
      </c>
      <c r="P81" t="s">
        <v>46</v>
      </c>
      <c r="R81" t="s">
        <v>47</v>
      </c>
      <c r="V81" s="2">
        <v>44798.663206018522</v>
      </c>
      <c r="X81" t="s">
        <v>187</v>
      </c>
      <c r="Y81" t="s">
        <v>193</v>
      </c>
      <c r="AB81" t="s">
        <v>78</v>
      </c>
      <c r="AC81" t="s">
        <v>316</v>
      </c>
      <c r="AE81" s="1" t="s">
        <v>367</v>
      </c>
      <c r="AL81" t="s">
        <v>53</v>
      </c>
      <c r="AM81" t="s">
        <v>54</v>
      </c>
    </row>
    <row r="82" spans="1:39" x14ac:dyDescent="0.35">
      <c r="A82">
        <v>2213149</v>
      </c>
      <c r="B82" t="s">
        <v>39</v>
      </c>
      <c r="C82" t="s">
        <v>41</v>
      </c>
      <c r="D82">
        <v>2213125</v>
      </c>
      <c r="E82">
        <v>1126</v>
      </c>
      <c r="F82" t="s">
        <v>368</v>
      </c>
      <c r="G82" t="s">
        <v>41</v>
      </c>
      <c r="H82" t="s">
        <v>42</v>
      </c>
      <c r="I82" t="s">
        <v>43</v>
      </c>
      <c r="J82" s="1" t="s">
        <v>369</v>
      </c>
      <c r="K82" s="2">
        <v>44798</v>
      </c>
      <c r="L82" s="2">
        <v>44799</v>
      </c>
      <c r="M82" s="2">
        <v>44799</v>
      </c>
      <c r="N82" t="s">
        <v>370</v>
      </c>
      <c r="P82" t="s">
        <v>46</v>
      </c>
      <c r="R82" t="s">
        <v>47</v>
      </c>
      <c r="V82" s="2">
        <v>44799.877129629633</v>
      </c>
      <c r="X82" t="s">
        <v>76</v>
      </c>
      <c r="Y82" t="s">
        <v>77</v>
      </c>
      <c r="AB82" t="s">
        <v>264</v>
      </c>
      <c r="AC82" t="s">
        <v>189</v>
      </c>
      <c r="AE82" s="1" t="s">
        <v>371</v>
      </c>
      <c r="AL82" t="s">
        <v>53</v>
      </c>
      <c r="AM82" t="s">
        <v>54</v>
      </c>
    </row>
    <row r="83" spans="1:39" x14ac:dyDescent="0.35">
      <c r="A83">
        <v>2213149</v>
      </c>
      <c r="B83" t="s">
        <v>39</v>
      </c>
      <c r="C83" t="s">
        <v>40</v>
      </c>
      <c r="D83">
        <v>2213125</v>
      </c>
      <c r="G83" t="s">
        <v>41</v>
      </c>
      <c r="H83" t="s">
        <v>42</v>
      </c>
      <c r="I83" t="s">
        <v>43</v>
      </c>
      <c r="J83" s="1" t="s">
        <v>369</v>
      </c>
      <c r="K83" s="2">
        <v>44798</v>
      </c>
      <c r="L83" s="2">
        <v>44799</v>
      </c>
      <c r="M83" s="2">
        <v>44799</v>
      </c>
      <c r="N83" t="s">
        <v>370</v>
      </c>
      <c r="P83" t="s">
        <v>46</v>
      </c>
      <c r="R83" t="s">
        <v>47</v>
      </c>
      <c r="V83" s="2">
        <v>44799.877129629633</v>
      </c>
      <c r="X83" t="s">
        <v>76</v>
      </c>
      <c r="Y83" t="s">
        <v>77</v>
      </c>
      <c r="AB83" t="s">
        <v>264</v>
      </c>
      <c r="AC83" t="s">
        <v>189</v>
      </c>
      <c r="AE83" s="1" t="s">
        <v>371</v>
      </c>
      <c r="AL83" t="s">
        <v>53</v>
      </c>
      <c r="AM83" t="s">
        <v>54</v>
      </c>
    </row>
    <row r="84" spans="1:39" x14ac:dyDescent="0.35">
      <c r="A84">
        <v>2214088</v>
      </c>
      <c r="B84" t="s">
        <v>39</v>
      </c>
      <c r="C84" t="s">
        <v>40</v>
      </c>
      <c r="D84">
        <v>2214037</v>
      </c>
      <c r="G84" t="s">
        <v>41</v>
      </c>
      <c r="H84" t="s">
        <v>42</v>
      </c>
      <c r="I84" t="s">
        <v>43</v>
      </c>
      <c r="J84" s="1" t="s">
        <v>372</v>
      </c>
      <c r="K84" s="2">
        <v>44818</v>
      </c>
      <c r="L84" s="2">
        <v>44818</v>
      </c>
      <c r="M84" s="2">
        <v>44819</v>
      </c>
      <c r="N84" t="s">
        <v>373</v>
      </c>
      <c r="P84" t="s">
        <v>46</v>
      </c>
      <c r="R84" t="s">
        <v>47</v>
      </c>
      <c r="V84" s="2">
        <v>44819.746006944442</v>
      </c>
      <c r="X84" t="s">
        <v>48</v>
      </c>
      <c r="Y84" t="s">
        <v>65</v>
      </c>
      <c r="AB84" t="s">
        <v>50</v>
      </c>
      <c r="AC84" t="s">
        <v>374</v>
      </c>
      <c r="AE84" t="s">
        <v>375</v>
      </c>
      <c r="AL84" t="s">
        <v>53</v>
      </c>
      <c r="AM84" t="s">
        <v>54</v>
      </c>
    </row>
    <row r="85" spans="1:39" x14ac:dyDescent="0.35">
      <c r="A85">
        <v>2214518</v>
      </c>
      <c r="B85" t="s">
        <v>39</v>
      </c>
      <c r="C85" t="s">
        <v>41</v>
      </c>
      <c r="D85">
        <v>2214467</v>
      </c>
      <c r="E85">
        <v>1026</v>
      </c>
      <c r="F85" t="s">
        <v>376</v>
      </c>
      <c r="G85" t="s">
        <v>41</v>
      </c>
      <c r="H85" t="s">
        <v>42</v>
      </c>
      <c r="I85" t="s">
        <v>43</v>
      </c>
      <c r="J85" s="1" t="s">
        <v>377</v>
      </c>
      <c r="K85" s="2">
        <v>44826</v>
      </c>
      <c r="L85" s="2">
        <v>44827</v>
      </c>
      <c r="M85" s="2">
        <v>44827</v>
      </c>
      <c r="N85" t="s">
        <v>378</v>
      </c>
      <c r="P85" t="s">
        <v>46</v>
      </c>
      <c r="R85" t="s">
        <v>47</v>
      </c>
      <c r="V85" s="2">
        <v>44827.886863425927</v>
      </c>
      <c r="X85" t="s">
        <v>379</v>
      </c>
      <c r="Y85" t="s">
        <v>380</v>
      </c>
      <c r="AB85" t="s">
        <v>381</v>
      </c>
      <c r="AC85" t="s">
        <v>189</v>
      </c>
      <c r="AE85" s="1" t="s">
        <v>382</v>
      </c>
      <c r="AL85" t="s">
        <v>53</v>
      </c>
      <c r="AM85" t="s">
        <v>54</v>
      </c>
    </row>
    <row r="86" spans="1:39" x14ac:dyDescent="0.35">
      <c r="A86">
        <v>2214601</v>
      </c>
      <c r="B86" t="s">
        <v>39</v>
      </c>
      <c r="C86" t="s">
        <v>41</v>
      </c>
      <c r="D86">
        <v>2214543</v>
      </c>
      <c r="E86">
        <v>1135</v>
      </c>
      <c r="F86" t="s">
        <v>383</v>
      </c>
      <c r="G86" t="s">
        <v>41</v>
      </c>
      <c r="H86" t="s">
        <v>42</v>
      </c>
      <c r="I86" t="s">
        <v>43</v>
      </c>
      <c r="J86" s="1" t="s">
        <v>384</v>
      </c>
      <c r="K86" s="2">
        <v>44830</v>
      </c>
      <c r="L86" s="2">
        <v>44830</v>
      </c>
      <c r="M86" s="2">
        <v>44830</v>
      </c>
      <c r="N86" t="s">
        <v>385</v>
      </c>
      <c r="P86" t="s">
        <v>46</v>
      </c>
      <c r="R86" t="s">
        <v>47</v>
      </c>
      <c r="V86" s="2">
        <v>44831.216863425929</v>
      </c>
      <c r="X86" t="s">
        <v>386</v>
      </c>
      <c r="Y86" t="s">
        <v>387</v>
      </c>
      <c r="AB86" t="s">
        <v>84</v>
      </c>
      <c r="AC86" t="s">
        <v>326</v>
      </c>
      <c r="AE86" t="s">
        <v>388</v>
      </c>
      <c r="AL86" t="s">
        <v>53</v>
      </c>
      <c r="AM86" t="s">
        <v>54</v>
      </c>
    </row>
    <row r="87" spans="1:39" x14ac:dyDescent="0.35">
      <c r="A87">
        <v>2214732</v>
      </c>
      <c r="B87" t="s">
        <v>39</v>
      </c>
      <c r="C87" t="s">
        <v>41</v>
      </c>
      <c r="D87">
        <v>2214704</v>
      </c>
      <c r="E87">
        <v>1098</v>
      </c>
      <c r="F87" t="s">
        <v>389</v>
      </c>
      <c r="G87" t="s">
        <v>41</v>
      </c>
      <c r="H87" t="s">
        <v>42</v>
      </c>
      <c r="I87" t="s">
        <v>43</v>
      </c>
      <c r="J87" s="1" t="s">
        <v>390</v>
      </c>
      <c r="K87" s="2">
        <v>44831</v>
      </c>
      <c r="L87" s="2">
        <v>44832</v>
      </c>
      <c r="M87" s="2">
        <v>44832</v>
      </c>
      <c r="N87" t="s">
        <v>391</v>
      </c>
      <c r="P87" t="s">
        <v>46</v>
      </c>
      <c r="R87" t="s">
        <v>47</v>
      </c>
      <c r="V87" s="2">
        <v>44832.746192129627</v>
      </c>
      <c r="X87" t="s">
        <v>105</v>
      </c>
      <c r="Y87" t="s">
        <v>106</v>
      </c>
      <c r="AB87" t="s">
        <v>107</v>
      </c>
      <c r="AC87" t="s">
        <v>392</v>
      </c>
      <c r="AE87" s="1" t="s">
        <v>393</v>
      </c>
      <c r="AL87" t="s">
        <v>53</v>
      </c>
      <c r="AM87" t="s">
        <v>54</v>
      </c>
    </row>
    <row r="88" spans="1:39" x14ac:dyDescent="0.35">
      <c r="A88">
        <v>2214900</v>
      </c>
      <c r="B88" t="s">
        <v>39</v>
      </c>
      <c r="C88" t="s">
        <v>41</v>
      </c>
      <c r="D88">
        <v>2214875</v>
      </c>
      <c r="E88">
        <v>1126</v>
      </c>
      <c r="F88" t="s">
        <v>368</v>
      </c>
      <c r="G88" t="s">
        <v>41</v>
      </c>
      <c r="H88" t="s">
        <v>42</v>
      </c>
      <c r="I88" t="s">
        <v>43</v>
      </c>
      <c r="J88" s="1" t="s">
        <v>394</v>
      </c>
      <c r="K88" s="2">
        <v>44833</v>
      </c>
      <c r="L88" s="2">
        <v>44834</v>
      </c>
      <c r="M88" s="2">
        <v>44834</v>
      </c>
      <c r="N88" t="s">
        <v>395</v>
      </c>
      <c r="P88" t="s">
        <v>46</v>
      </c>
      <c r="R88" t="s">
        <v>47</v>
      </c>
      <c r="V88" s="2">
        <v>44834.82371527778</v>
      </c>
      <c r="X88" t="s">
        <v>187</v>
      </c>
      <c r="Y88" t="s">
        <v>193</v>
      </c>
      <c r="AB88" t="s">
        <v>78</v>
      </c>
      <c r="AC88" t="s">
        <v>189</v>
      </c>
      <c r="AE88" s="1" t="s">
        <v>396</v>
      </c>
      <c r="AL88" t="s">
        <v>53</v>
      </c>
      <c r="AM88" t="s">
        <v>54</v>
      </c>
    </row>
    <row r="89" spans="1:39" x14ac:dyDescent="0.35">
      <c r="A89">
        <v>2215271</v>
      </c>
      <c r="B89" t="s">
        <v>39</v>
      </c>
      <c r="C89" t="s">
        <v>41</v>
      </c>
      <c r="D89">
        <v>2215226</v>
      </c>
      <c r="E89">
        <v>1364</v>
      </c>
      <c r="F89" t="s">
        <v>397</v>
      </c>
      <c r="G89" t="s">
        <v>41</v>
      </c>
      <c r="H89" t="s">
        <v>42</v>
      </c>
      <c r="I89" t="s">
        <v>43</v>
      </c>
      <c r="J89" s="1" t="s">
        <v>398</v>
      </c>
      <c r="K89" s="2">
        <v>44841</v>
      </c>
      <c r="L89" s="2">
        <v>44841</v>
      </c>
      <c r="M89" s="2">
        <v>44841</v>
      </c>
      <c r="N89" t="s">
        <v>399</v>
      </c>
      <c r="P89" t="s">
        <v>46</v>
      </c>
      <c r="R89" t="s">
        <v>47</v>
      </c>
      <c r="V89" s="2">
        <v>44847.658425925925</v>
      </c>
      <c r="X89" t="s">
        <v>120</v>
      </c>
      <c r="Y89" t="s">
        <v>121</v>
      </c>
      <c r="AB89" t="s">
        <v>122</v>
      </c>
      <c r="AC89" t="s">
        <v>189</v>
      </c>
      <c r="AE89" s="1" t="s">
        <v>400</v>
      </c>
      <c r="AL89" t="s">
        <v>53</v>
      </c>
      <c r="AM89" t="s">
        <v>54</v>
      </c>
    </row>
    <row r="90" spans="1:39" x14ac:dyDescent="0.35">
      <c r="A90">
        <v>2215677</v>
      </c>
      <c r="B90" t="s">
        <v>39</v>
      </c>
      <c r="C90" t="s">
        <v>41</v>
      </c>
      <c r="D90">
        <v>2215596</v>
      </c>
      <c r="E90">
        <v>1138</v>
      </c>
      <c r="F90" t="s">
        <v>401</v>
      </c>
      <c r="G90" t="s">
        <v>41</v>
      </c>
      <c r="H90" t="s">
        <v>42</v>
      </c>
      <c r="I90" t="s">
        <v>43</v>
      </c>
      <c r="J90" s="1" t="s">
        <v>402</v>
      </c>
      <c r="K90" s="2">
        <v>44847</v>
      </c>
      <c r="L90" s="2">
        <v>44848</v>
      </c>
      <c r="M90" s="2">
        <v>44848</v>
      </c>
      <c r="N90" t="s">
        <v>403</v>
      </c>
      <c r="P90" t="s">
        <v>46</v>
      </c>
      <c r="R90" t="s">
        <v>47</v>
      </c>
      <c r="V90" s="2">
        <v>44848.984756944446</v>
      </c>
      <c r="X90" t="s">
        <v>216</v>
      </c>
      <c r="Y90" t="s">
        <v>295</v>
      </c>
      <c r="AB90" t="s">
        <v>218</v>
      </c>
      <c r="AC90" t="s">
        <v>85</v>
      </c>
      <c r="AE90" t="s">
        <v>404</v>
      </c>
      <c r="AL90" t="s">
        <v>53</v>
      </c>
      <c r="AM90" t="s">
        <v>54</v>
      </c>
    </row>
    <row r="91" spans="1:39" x14ac:dyDescent="0.35">
      <c r="A91">
        <v>2216075</v>
      </c>
      <c r="B91" t="s">
        <v>39</v>
      </c>
      <c r="C91" t="s">
        <v>40</v>
      </c>
      <c r="D91">
        <v>2215959</v>
      </c>
      <c r="G91" t="s">
        <v>41</v>
      </c>
      <c r="H91" t="s">
        <v>42</v>
      </c>
      <c r="I91" t="s">
        <v>43</v>
      </c>
      <c r="J91" s="1" t="s">
        <v>405</v>
      </c>
      <c r="K91" s="2">
        <v>44855</v>
      </c>
      <c r="L91" s="2">
        <v>44855</v>
      </c>
      <c r="M91" s="2">
        <v>44858</v>
      </c>
      <c r="N91" t="s">
        <v>406</v>
      </c>
      <c r="P91" t="s">
        <v>46</v>
      </c>
      <c r="R91" t="s">
        <v>47</v>
      </c>
      <c r="V91" s="2">
        <v>44858.547025462962</v>
      </c>
      <c r="X91" t="s">
        <v>407</v>
      </c>
      <c r="Y91" t="s">
        <v>408</v>
      </c>
      <c r="AB91" t="s">
        <v>409</v>
      </c>
      <c r="AC91" t="s">
        <v>410</v>
      </c>
      <c r="AE91" s="1" t="s">
        <v>411</v>
      </c>
      <c r="AL91" t="s">
        <v>53</v>
      </c>
      <c r="AM91" t="s">
        <v>54</v>
      </c>
    </row>
    <row r="92" spans="1:39" x14ac:dyDescent="0.35">
      <c r="A92">
        <v>2216130</v>
      </c>
      <c r="B92" t="s">
        <v>39</v>
      </c>
      <c r="C92" t="s">
        <v>41</v>
      </c>
      <c r="D92">
        <v>2216112</v>
      </c>
      <c r="E92">
        <v>1026</v>
      </c>
      <c r="F92" t="s">
        <v>376</v>
      </c>
      <c r="G92" t="s">
        <v>41</v>
      </c>
      <c r="H92" t="s">
        <v>42</v>
      </c>
      <c r="I92" t="s">
        <v>43</v>
      </c>
      <c r="J92" s="1" t="s">
        <v>412</v>
      </c>
      <c r="K92" s="2">
        <v>44854</v>
      </c>
      <c r="L92" s="2">
        <v>44858</v>
      </c>
      <c r="M92" s="2">
        <v>44858</v>
      </c>
      <c r="N92" t="s">
        <v>413</v>
      </c>
      <c r="P92" t="s">
        <v>46</v>
      </c>
      <c r="R92" t="s">
        <v>47</v>
      </c>
      <c r="V92" s="2">
        <v>44858.867673611108</v>
      </c>
      <c r="X92" t="s">
        <v>82</v>
      </c>
      <c r="Y92" t="s">
        <v>175</v>
      </c>
      <c r="AB92" t="s">
        <v>84</v>
      </c>
      <c r="AC92" t="s">
        <v>189</v>
      </c>
      <c r="AE92" s="1" t="s">
        <v>414</v>
      </c>
      <c r="AL92" t="s">
        <v>53</v>
      </c>
      <c r="AM92" t="s">
        <v>54</v>
      </c>
    </row>
    <row r="93" spans="1:39" x14ac:dyDescent="0.35">
      <c r="A93">
        <v>2216566</v>
      </c>
      <c r="B93" t="s">
        <v>39</v>
      </c>
      <c r="C93" t="s">
        <v>41</v>
      </c>
      <c r="D93">
        <v>2216560</v>
      </c>
      <c r="E93">
        <v>1452</v>
      </c>
      <c r="F93" t="s">
        <v>415</v>
      </c>
      <c r="G93" t="s">
        <v>41</v>
      </c>
      <c r="H93" t="s">
        <v>42</v>
      </c>
      <c r="I93" t="s">
        <v>43</v>
      </c>
      <c r="J93" s="1" t="s">
        <v>416</v>
      </c>
      <c r="K93" s="2">
        <v>44865</v>
      </c>
      <c r="L93" s="2">
        <v>44866</v>
      </c>
      <c r="M93" s="2">
        <v>44866</v>
      </c>
      <c r="N93" t="s">
        <v>417</v>
      </c>
      <c r="P93" t="s">
        <v>46</v>
      </c>
      <c r="R93" t="s">
        <v>47</v>
      </c>
      <c r="V93" s="2">
        <v>44866.789942129632</v>
      </c>
      <c r="X93" t="s">
        <v>48</v>
      </c>
      <c r="Y93" t="s">
        <v>65</v>
      </c>
      <c r="AB93" t="s">
        <v>59</v>
      </c>
      <c r="AC93" t="s">
        <v>418</v>
      </c>
      <c r="AE93" t="s">
        <v>419</v>
      </c>
      <c r="AL93" t="s">
        <v>53</v>
      </c>
      <c r="AM93" t="s">
        <v>54</v>
      </c>
    </row>
    <row r="94" spans="1:39" x14ac:dyDescent="0.35">
      <c r="A94">
        <v>2216566</v>
      </c>
      <c r="B94" t="s">
        <v>39</v>
      </c>
      <c r="C94" t="s">
        <v>40</v>
      </c>
      <c r="D94">
        <v>2216560</v>
      </c>
      <c r="G94" t="s">
        <v>41</v>
      </c>
      <c r="H94" t="s">
        <v>42</v>
      </c>
      <c r="I94" t="s">
        <v>43</v>
      </c>
      <c r="J94" s="1" t="s">
        <v>416</v>
      </c>
      <c r="K94" s="2">
        <v>44865</v>
      </c>
      <c r="L94" s="2">
        <v>44866</v>
      </c>
      <c r="M94" s="2">
        <v>44866</v>
      </c>
      <c r="N94" t="s">
        <v>417</v>
      </c>
      <c r="P94" t="s">
        <v>46</v>
      </c>
      <c r="R94" t="s">
        <v>47</v>
      </c>
      <c r="V94" s="2">
        <v>44866.789942129632</v>
      </c>
      <c r="X94" t="s">
        <v>48</v>
      </c>
      <c r="Y94" t="s">
        <v>65</v>
      </c>
      <c r="AB94" t="s">
        <v>59</v>
      </c>
      <c r="AC94" t="s">
        <v>418</v>
      </c>
      <c r="AE94" t="s">
        <v>419</v>
      </c>
      <c r="AL94" t="s">
        <v>53</v>
      </c>
      <c r="AM94" t="s">
        <v>54</v>
      </c>
    </row>
    <row r="95" spans="1:39" x14ac:dyDescent="0.35">
      <c r="A95">
        <v>2216719</v>
      </c>
      <c r="B95" t="s">
        <v>39</v>
      </c>
      <c r="C95" t="s">
        <v>41</v>
      </c>
      <c r="D95">
        <v>2216669</v>
      </c>
      <c r="E95" t="s">
        <v>420</v>
      </c>
      <c r="F95" t="s">
        <v>421</v>
      </c>
      <c r="G95" t="s">
        <v>41</v>
      </c>
      <c r="H95" t="s">
        <v>42</v>
      </c>
      <c r="I95" t="s">
        <v>43</v>
      </c>
      <c r="J95" s="1" t="s">
        <v>422</v>
      </c>
      <c r="K95" s="2">
        <v>44868</v>
      </c>
      <c r="L95" s="2">
        <v>44868</v>
      </c>
      <c r="M95" s="2">
        <v>44868</v>
      </c>
      <c r="N95" t="s">
        <v>423</v>
      </c>
      <c r="P95" t="s">
        <v>46</v>
      </c>
      <c r="R95" t="s">
        <v>47</v>
      </c>
      <c r="V95" s="2">
        <v>44868.741307870368</v>
      </c>
      <c r="X95" t="s">
        <v>48</v>
      </c>
      <c r="Y95" t="s">
        <v>49</v>
      </c>
      <c r="AB95" t="s">
        <v>84</v>
      </c>
      <c r="AC95" t="s">
        <v>286</v>
      </c>
      <c r="AE95" s="1" t="s">
        <v>424</v>
      </c>
      <c r="AL95" t="s">
        <v>53</v>
      </c>
      <c r="AM95" t="s">
        <v>54</v>
      </c>
    </row>
    <row r="96" spans="1:39" x14ac:dyDescent="0.35">
      <c r="A96">
        <v>2216719</v>
      </c>
      <c r="B96" t="s">
        <v>39</v>
      </c>
      <c r="C96" t="s">
        <v>55</v>
      </c>
      <c r="D96">
        <v>2216669</v>
      </c>
      <c r="E96">
        <v>1037</v>
      </c>
      <c r="F96" t="s">
        <v>425</v>
      </c>
      <c r="G96" t="s">
        <v>41</v>
      </c>
      <c r="H96" t="s">
        <v>42</v>
      </c>
      <c r="I96" t="s">
        <v>43</v>
      </c>
      <c r="J96" s="1" t="s">
        <v>422</v>
      </c>
      <c r="K96" s="2">
        <v>44868</v>
      </c>
      <c r="L96" s="2">
        <v>44868</v>
      </c>
      <c r="M96" s="2">
        <v>44868</v>
      </c>
      <c r="N96" t="s">
        <v>423</v>
      </c>
      <c r="P96" t="s">
        <v>46</v>
      </c>
      <c r="R96" t="s">
        <v>47</v>
      </c>
      <c r="V96" s="2">
        <v>44868.741307870368</v>
      </c>
      <c r="X96" t="s">
        <v>48</v>
      </c>
      <c r="Y96" t="s">
        <v>49</v>
      </c>
      <c r="AB96" t="s">
        <v>84</v>
      </c>
      <c r="AC96" t="s">
        <v>286</v>
      </c>
      <c r="AE96" s="1" t="s">
        <v>424</v>
      </c>
      <c r="AL96" t="s">
        <v>53</v>
      </c>
      <c r="AM96" t="s">
        <v>54</v>
      </c>
    </row>
    <row r="97" spans="1:39" x14ac:dyDescent="0.35">
      <c r="A97">
        <v>2216719</v>
      </c>
      <c r="B97" t="s">
        <v>39</v>
      </c>
      <c r="C97" t="s">
        <v>40</v>
      </c>
      <c r="D97">
        <v>2216669</v>
      </c>
      <c r="G97" t="s">
        <v>41</v>
      </c>
      <c r="H97" t="s">
        <v>42</v>
      </c>
      <c r="I97" t="s">
        <v>43</v>
      </c>
      <c r="J97" s="1" t="s">
        <v>422</v>
      </c>
      <c r="K97" s="2">
        <v>44868</v>
      </c>
      <c r="L97" s="2">
        <v>44868</v>
      </c>
      <c r="M97" s="2">
        <v>44868</v>
      </c>
      <c r="N97" t="s">
        <v>423</v>
      </c>
      <c r="P97" t="s">
        <v>46</v>
      </c>
      <c r="R97" t="s">
        <v>47</v>
      </c>
      <c r="V97" s="2">
        <v>44868.741307870368</v>
      </c>
      <c r="X97" t="s">
        <v>48</v>
      </c>
      <c r="Y97" t="s">
        <v>49</v>
      </c>
      <c r="AB97" t="s">
        <v>84</v>
      </c>
      <c r="AC97" t="s">
        <v>286</v>
      </c>
      <c r="AE97" s="1" t="s">
        <v>424</v>
      </c>
      <c r="AL97" t="s">
        <v>53</v>
      </c>
      <c r="AM97" t="s">
        <v>54</v>
      </c>
    </row>
    <row r="98" spans="1:39" x14ac:dyDescent="0.35">
      <c r="A98">
        <v>2216904</v>
      </c>
      <c r="B98" t="s">
        <v>39</v>
      </c>
      <c r="C98" t="s">
        <v>41</v>
      </c>
      <c r="D98">
        <v>2216867</v>
      </c>
      <c r="E98">
        <v>1202</v>
      </c>
      <c r="F98" t="s">
        <v>426</v>
      </c>
      <c r="G98" t="s">
        <v>41</v>
      </c>
      <c r="H98" t="s">
        <v>42</v>
      </c>
      <c r="I98" t="s">
        <v>43</v>
      </c>
      <c r="J98" s="1" t="s">
        <v>427</v>
      </c>
      <c r="K98" s="2">
        <v>44872</v>
      </c>
      <c r="L98" s="2">
        <v>44872</v>
      </c>
      <c r="M98" s="2">
        <v>44872</v>
      </c>
      <c r="N98" t="s">
        <v>428</v>
      </c>
      <c r="P98" t="s">
        <v>46</v>
      </c>
      <c r="R98" t="s">
        <v>47</v>
      </c>
      <c r="V98" s="2">
        <v>44872.77820601852</v>
      </c>
      <c r="X98" t="s">
        <v>82</v>
      </c>
      <c r="Y98" t="s">
        <v>429</v>
      </c>
      <c r="AB98" t="s">
        <v>84</v>
      </c>
      <c r="AC98" t="s">
        <v>85</v>
      </c>
      <c r="AE98" t="s">
        <v>430</v>
      </c>
      <c r="AL98" t="s">
        <v>53</v>
      </c>
      <c r="AM98" t="s">
        <v>54</v>
      </c>
    </row>
    <row r="99" spans="1:39" x14ac:dyDescent="0.35">
      <c r="A99">
        <v>2217487</v>
      </c>
      <c r="B99" t="s">
        <v>39</v>
      </c>
      <c r="C99" t="s">
        <v>41</v>
      </c>
      <c r="D99">
        <v>2217423</v>
      </c>
      <c r="E99">
        <v>1452</v>
      </c>
      <c r="F99" t="s">
        <v>415</v>
      </c>
      <c r="G99" t="s">
        <v>41</v>
      </c>
      <c r="H99" t="s">
        <v>42</v>
      </c>
      <c r="I99" t="s">
        <v>43</v>
      </c>
      <c r="J99" s="1" t="s">
        <v>431</v>
      </c>
      <c r="K99" s="2">
        <v>44879</v>
      </c>
      <c r="L99" s="2">
        <v>44880</v>
      </c>
      <c r="M99" s="2">
        <v>44881</v>
      </c>
      <c r="N99" t="s">
        <v>432</v>
      </c>
      <c r="P99" t="s">
        <v>46</v>
      </c>
      <c r="R99" t="s">
        <v>47</v>
      </c>
      <c r="V99" s="2">
        <v>44881.720034722224</v>
      </c>
      <c r="X99" t="s">
        <v>433</v>
      </c>
      <c r="Y99" t="s">
        <v>434</v>
      </c>
      <c r="AB99" t="s">
        <v>71</v>
      </c>
      <c r="AC99" t="s">
        <v>418</v>
      </c>
      <c r="AE99" t="s">
        <v>435</v>
      </c>
      <c r="AL99" t="s">
        <v>53</v>
      </c>
      <c r="AM99" t="s">
        <v>54</v>
      </c>
    </row>
    <row r="100" spans="1:39" x14ac:dyDescent="0.35">
      <c r="A100">
        <v>2217487</v>
      </c>
      <c r="B100" t="s">
        <v>39</v>
      </c>
      <c r="C100" t="s">
        <v>40</v>
      </c>
      <c r="D100">
        <v>2217423</v>
      </c>
      <c r="G100" t="s">
        <v>41</v>
      </c>
      <c r="H100" t="s">
        <v>42</v>
      </c>
      <c r="I100" t="s">
        <v>43</v>
      </c>
      <c r="J100" s="1" t="s">
        <v>431</v>
      </c>
      <c r="K100" s="2">
        <v>44879</v>
      </c>
      <c r="L100" s="2">
        <v>44880</v>
      </c>
      <c r="M100" s="2">
        <v>44881</v>
      </c>
      <c r="N100" t="s">
        <v>432</v>
      </c>
      <c r="P100" t="s">
        <v>46</v>
      </c>
      <c r="R100" t="s">
        <v>47</v>
      </c>
      <c r="V100" s="2">
        <v>44881.720034722224</v>
      </c>
      <c r="X100" t="s">
        <v>433</v>
      </c>
      <c r="Y100" t="s">
        <v>434</v>
      </c>
      <c r="AB100" t="s">
        <v>71</v>
      </c>
      <c r="AC100" t="s">
        <v>418</v>
      </c>
      <c r="AE100" t="s">
        <v>435</v>
      </c>
      <c r="AL100" t="s">
        <v>53</v>
      </c>
      <c r="AM100" t="s">
        <v>54</v>
      </c>
    </row>
    <row r="101" spans="1:39" x14ac:dyDescent="0.35">
      <c r="A101">
        <v>2217509</v>
      </c>
      <c r="B101" t="s">
        <v>39</v>
      </c>
      <c r="C101" t="s">
        <v>40</v>
      </c>
      <c r="D101">
        <v>2217434</v>
      </c>
      <c r="G101" t="s">
        <v>41</v>
      </c>
      <c r="H101" t="s">
        <v>42</v>
      </c>
      <c r="I101" t="s">
        <v>43</v>
      </c>
      <c r="J101" s="1" t="s">
        <v>436</v>
      </c>
      <c r="K101" s="2">
        <v>44880</v>
      </c>
      <c r="L101" s="2">
        <v>44880</v>
      </c>
      <c r="M101" s="2">
        <v>44881</v>
      </c>
      <c r="N101" t="s">
        <v>437</v>
      </c>
      <c r="P101" t="s">
        <v>46</v>
      </c>
      <c r="R101" t="s">
        <v>47</v>
      </c>
      <c r="V101" s="2">
        <v>44881.797731481478</v>
      </c>
      <c r="X101" t="s">
        <v>48</v>
      </c>
      <c r="Y101" t="s">
        <v>65</v>
      </c>
      <c r="AB101" t="s">
        <v>438</v>
      </c>
      <c r="AC101" t="s">
        <v>374</v>
      </c>
      <c r="AE101" t="s">
        <v>439</v>
      </c>
      <c r="AL101" t="s">
        <v>53</v>
      </c>
      <c r="AM101" t="s">
        <v>54</v>
      </c>
    </row>
    <row r="102" spans="1:39" x14ac:dyDescent="0.35">
      <c r="A102">
        <v>2217791</v>
      </c>
      <c r="B102" t="s">
        <v>39</v>
      </c>
      <c r="C102" t="s">
        <v>41</v>
      </c>
      <c r="D102">
        <v>2217723</v>
      </c>
      <c r="E102">
        <v>1048</v>
      </c>
      <c r="F102" t="s">
        <v>440</v>
      </c>
      <c r="G102" t="s">
        <v>41</v>
      </c>
      <c r="H102" t="s">
        <v>42</v>
      </c>
      <c r="I102" t="s">
        <v>43</v>
      </c>
      <c r="J102" s="1" t="s">
        <v>441</v>
      </c>
      <c r="K102" s="2">
        <v>44883</v>
      </c>
      <c r="L102" s="2">
        <v>44883</v>
      </c>
      <c r="M102" s="2">
        <v>44886</v>
      </c>
      <c r="N102" t="s">
        <v>442</v>
      </c>
      <c r="P102" t="s">
        <v>46</v>
      </c>
      <c r="R102" t="s">
        <v>47</v>
      </c>
      <c r="V102" s="2">
        <v>44886.756249999999</v>
      </c>
      <c r="X102" t="s">
        <v>443</v>
      </c>
      <c r="Y102" t="s">
        <v>444</v>
      </c>
      <c r="AB102" t="s">
        <v>445</v>
      </c>
      <c r="AC102" t="s">
        <v>446</v>
      </c>
      <c r="AE102" t="s">
        <v>447</v>
      </c>
      <c r="AL102" t="s">
        <v>53</v>
      </c>
      <c r="AM102" t="s">
        <v>54</v>
      </c>
    </row>
    <row r="103" spans="1:39" x14ac:dyDescent="0.35">
      <c r="A103">
        <v>2217791</v>
      </c>
      <c r="B103" t="s">
        <v>39</v>
      </c>
      <c r="C103" t="s">
        <v>40</v>
      </c>
      <c r="D103">
        <v>2217723</v>
      </c>
      <c r="G103" t="s">
        <v>41</v>
      </c>
      <c r="H103" t="s">
        <v>42</v>
      </c>
      <c r="I103" t="s">
        <v>43</v>
      </c>
      <c r="J103" s="1" t="s">
        <v>441</v>
      </c>
      <c r="K103" s="2">
        <v>44883</v>
      </c>
      <c r="L103" s="2">
        <v>44883</v>
      </c>
      <c r="M103" s="2">
        <v>44886</v>
      </c>
      <c r="N103" t="s">
        <v>442</v>
      </c>
      <c r="P103" t="s">
        <v>46</v>
      </c>
      <c r="R103" t="s">
        <v>47</v>
      </c>
      <c r="V103" s="2">
        <v>44886.756249999999</v>
      </c>
      <c r="X103" t="s">
        <v>443</v>
      </c>
      <c r="Y103" t="s">
        <v>444</v>
      </c>
      <c r="AB103" t="s">
        <v>445</v>
      </c>
      <c r="AC103" t="s">
        <v>446</v>
      </c>
      <c r="AE103" t="s">
        <v>447</v>
      </c>
      <c r="AL103" t="s">
        <v>53</v>
      </c>
      <c r="AM103" t="s">
        <v>54</v>
      </c>
    </row>
    <row r="104" spans="1:39" x14ac:dyDescent="0.35">
      <c r="A104">
        <v>2218135</v>
      </c>
      <c r="B104" t="s">
        <v>39</v>
      </c>
      <c r="C104" t="s">
        <v>41</v>
      </c>
      <c r="D104">
        <v>2218112</v>
      </c>
      <c r="E104">
        <v>1104</v>
      </c>
      <c r="F104" t="s">
        <v>62</v>
      </c>
      <c r="G104" t="s">
        <v>41</v>
      </c>
      <c r="H104" t="s">
        <v>42</v>
      </c>
      <c r="I104" t="s">
        <v>43</v>
      </c>
      <c r="J104" s="1" t="s">
        <v>448</v>
      </c>
      <c r="K104" s="2">
        <v>44893</v>
      </c>
      <c r="L104" s="2">
        <v>44893</v>
      </c>
      <c r="M104" s="2">
        <v>44893</v>
      </c>
      <c r="N104" t="s">
        <v>449</v>
      </c>
      <c r="P104" t="s">
        <v>46</v>
      </c>
      <c r="R104" t="s">
        <v>47</v>
      </c>
      <c r="V104" s="2">
        <v>44893.788553240738</v>
      </c>
      <c r="X104" t="s">
        <v>82</v>
      </c>
      <c r="Y104" t="s">
        <v>83</v>
      </c>
      <c r="AB104" t="s">
        <v>84</v>
      </c>
      <c r="AC104" t="s">
        <v>85</v>
      </c>
      <c r="AE104" t="s">
        <v>450</v>
      </c>
      <c r="AL104" t="s">
        <v>53</v>
      </c>
      <c r="AM104" t="s">
        <v>54</v>
      </c>
    </row>
    <row r="105" spans="1:39" x14ac:dyDescent="0.35">
      <c r="A105">
        <v>2218182</v>
      </c>
      <c r="B105" t="s">
        <v>39</v>
      </c>
      <c r="C105" t="s">
        <v>41</v>
      </c>
      <c r="D105">
        <v>2218061</v>
      </c>
      <c r="E105">
        <v>1399</v>
      </c>
      <c r="F105" t="s">
        <v>451</v>
      </c>
      <c r="G105" t="s">
        <v>41</v>
      </c>
      <c r="H105" t="s">
        <v>42</v>
      </c>
      <c r="I105" t="s">
        <v>43</v>
      </c>
      <c r="J105" s="1" t="s">
        <v>452</v>
      </c>
      <c r="K105" s="2">
        <v>44889</v>
      </c>
      <c r="L105" s="2">
        <v>44890</v>
      </c>
      <c r="M105" s="2">
        <v>44893</v>
      </c>
      <c r="N105" t="s">
        <v>453</v>
      </c>
      <c r="P105" t="s">
        <v>46</v>
      </c>
      <c r="R105" t="s">
        <v>47</v>
      </c>
      <c r="V105" s="2">
        <v>44894.011458333334</v>
      </c>
      <c r="X105" t="s">
        <v>69</v>
      </c>
      <c r="Y105" t="s">
        <v>454</v>
      </c>
      <c r="AB105" t="s">
        <v>455</v>
      </c>
      <c r="AC105" t="s">
        <v>259</v>
      </c>
      <c r="AE105" s="1" t="s">
        <v>456</v>
      </c>
      <c r="AL105" t="s">
        <v>53</v>
      </c>
      <c r="AM105" t="s">
        <v>54</v>
      </c>
    </row>
    <row r="106" spans="1:39" x14ac:dyDescent="0.35">
      <c r="A106">
        <v>2218182</v>
      </c>
      <c r="B106" t="s">
        <v>39</v>
      </c>
      <c r="C106" t="s">
        <v>40</v>
      </c>
      <c r="D106">
        <v>2218061</v>
      </c>
      <c r="G106" t="s">
        <v>41</v>
      </c>
      <c r="H106" t="s">
        <v>42</v>
      </c>
      <c r="I106" t="s">
        <v>43</v>
      </c>
      <c r="J106" s="1" t="s">
        <v>452</v>
      </c>
      <c r="K106" s="2">
        <v>44889</v>
      </c>
      <c r="L106" s="2">
        <v>44890</v>
      </c>
      <c r="M106" s="2">
        <v>44893</v>
      </c>
      <c r="N106" t="s">
        <v>453</v>
      </c>
      <c r="P106" t="s">
        <v>46</v>
      </c>
      <c r="R106" t="s">
        <v>47</v>
      </c>
      <c r="V106" s="2">
        <v>44894.011458333334</v>
      </c>
      <c r="X106" t="s">
        <v>69</v>
      </c>
      <c r="Y106" t="s">
        <v>454</v>
      </c>
      <c r="AB106" t="s">
        <v>455</v>
      </c>
      <c r="AC106" t="s">
        <v>259</v>
      </c>
      <c r="AE106" s="1" t="s">
        <v>456</v>
      </c>
      <c r="AL106" t="s">
        <v>53</v>
      </c>
      <c r="AM106" t="s">
        <v>54</v>
      </c>
    </row>
    <row r="107" spans="1:39" x14ac:dyDescent="0.35">
      <c r="A107">
        <v>2218410</v>
      </c>
      <c r="B107" t="s">
        <v>39</v>
      </c>
      <c r="C107" t="s">
        <v>41</v>
      </c>
      <c r="D107">
        <v>2218389</v>
      </c>
      <c r="E107">
        <v>1348</v>
      </c>
      <c r="F107" t="s">
        <v>457</v>
      </c>
      <c r="G107" t="s">
        <v>41</v>
      </c>
      <c r="H107" t="s">
        <v>42</v>
      </c>
      <c r="I107" t="s">
        <v>43</v>
      </c>
      <c r="J107" s="1" t="s">
        <v>458</v>
      </c>
      <c r="K107" s="2">
        <v>44895</v>
      </c>
      <c r="L107" s="2">
        <v>44896</v>
      </c>
      <c r="M107" s="2">
        <v>44896</v>
      </c>
      <c r="N107" t="s">
        <v>459</v>
      </c>
      <c r="P107" t="s">
        <v>46</v>
      </c>
      <c r="R107" t="s">
        <v>47</v>
      </c>
      <c r="V107" s="2">
        <v>44896.743877314817</v>
      </c>
      <c r="X107" t="s">
        <v>76</v>
      </c>
      <c r="Y107" t="s">
        <v>77</v>
      </c>
      <c r="AB107" t="s">
        <v>264</v>
      </c>
      <c r="AC107" t="s">
        <v>189</v>
      </c>
      <c r="AE107" s="1" t="s">
        <v>460</v>
      </c>
      <c r="AL107" t="s">
        <v>53</v>
      </c>
      <c r="AM107" t="s">
        <v>54</v>
      </c>
    </row>
    <row r="108" spans="1:39" x14ac:dyDescent="0.35">
      <c r="A108">
        <v>2218560</v>
      </c>
      <c r="B108" t="s">
        <v>39</v>
      </c>
      <c r="C108" t="s">
        <v>41</v>
      </c>
      <c r="D108">
        <v>2218474</v>
      </c>
      <c r="E108">
        <v>1253</v>
      </c>
      <c r="F108" t="s">
        <v>279</v>
      </c>
      <c r="G108" t="s">
        <v>41</v>
      </c>
      <c r="H108" t="s">
        <v>42</v>
      </c>
      <c r="I108" t="s">
        <v>43</v>
      </c>
      <c r="J108" s="1" t="s">
        <v>461</v>
      </c>
      <c r="K108" s="2">
        <v>44895</v>
      </c>
      <c r="L108" s="2">
        <v>44897</v>
      </c>
      <c r="M108" s="2">
        <v>44900</v>
      </c>
      <c r="N108" t="s">
        <v>462</v>
      </c>
      <c r="P108" t="s">
        <v>46</v>
      </c>
      <c r="R108" t="s">
        <v>47</v>
      </c>
      <c r="V108" s="2">
        <v>44900.651493055557</v>
      </c>
      <c r="X108" t="s">
        <v>407</v>
      </c>
      <c r="Y108" t="s">
        <v>463</v>
      </c>
      <c r="AB108" t="s">
        <v>247</v>
      </c>
      <c r="AC108" t="s">
        <v>189</v>
      </c>
      <c r="AE108" s="1" t="s">
        <v>464</v>
      </c>
      <c r="AL108" t="s">
        <v>53</v>
      </c>
      <c r="AM108" t="s">
        <v>54</v>
      </c>
    </row>
    <row r="109" spans="1:39" x14ac:dyDescent="0.35">
      <c r="A109">
        <v>2218929</v>
      </c>
      <c r="B109" t="s">
        <v>39</v>
      </c>
      <c r="C109" t="s">
        <v>40</v>
      </c>
      <c r="D109">
        <v>2218882</v>
      </c>
      <c r="G109" t="s">
        <v>41</v>
      </c>
      <c r="H109" t="s">
        <v>42</v>
      </c>
      <c r="I109" t="s">
        <v>43</v>
      </c>
      <c r="J109" s="1" t="s">
        <v>465</v>
      </c>
      <c r="K109" s="2">
        <v>44777</v>
      </c>
      <c r="L109" s="2">
        <v>44904</v>
      </c>
      <c r="M109" s="2">
        <v>44904</v>
      </c>
      <c r="N109" t="s">
        <v>466</v>
      </c>
      <c r="P109" t="s">
        <v>46</v>
      </c>
      <c r="R109" t="s">
        <v>47</v>
      </c>
      <c r="V109" s="2">
        <v>44904.870381944442</v>
      </c>
      <c r="X109" t="s">
        <v>467</v>
      </c>
      <c r="Y109" t="s">
        <v>468</v>
      </c>
      <c r="AB109" t="s">
        <v>469</v>
      </c>
      <c r="AC109" t="s">
        <v>274</v>
      </c>
      <c r="AE109" t="s">
        <v>470</v>
      </c>
      <c r="AL109" t="s">
        <v>53</v>
      </c>
      <c r="AM109" t="s">
        <v>54</v>
      </c>
    </row>
    <row r="110" spans="1:39" x14ac:dyDescent="0.35">
      <c r="A110">
        <v>2218936</v>
      </c>
      <c r="B110" t="s">
        <v>39</v>
      </c>
      <c r="C110" t="s">
        <v>41</v>
      </c>
      <c r="D110">
        <v>2218891</v>
      </c>
      <c r="E110">
        <v>1013</v>
      </c>
      <c r="F110" t="s">
        <v>471</v>
      </c>
      <c r="G110" t="s">
        <v>41</v>
      </c>
      <c r="H110" t="s">
        <v>42</v>
      </c>
      <c r="I110" t="s">
        <v>43</v>
      </c>
      <c r="J110" s="1" t="s">
        <v>472</v>
      </c>
      <c r="K110" s="2">
        <v>44903</v>
      </c>
      <c r="L110" s="2">
        <v>44904</v>
      </c>
      <c r="M110" s="2">
        <v>44904</v>
      </c>
      <c r="N110" t="s">
        <v>473</v>
      </c>
      <c r="P110" t="s">
        <v>46</v>
      </c>
      <c r="R110" t="s">
        <v>47</v>
      </c>
      <c r="V110" s="2">
        <v>44904.909386574072</v>
      </c>
      <c r="X110" t="s">
        <v>94</v>
      </c>
      <c r="Y110" t="s">
        <v>162</v>
      </c>
      <c r="AB110" t="s">
        <v>474</v>
      </c>
      <c r="AC110" t="s">
        <v>286</v>
      </c>
      <c r="AE110" t="s">
        <v>475</v>
      </c>
      <c r="AL110" t="s">
        <v>53</v>
      </c>
      <c r="AM110" t="s">
        <v>54</v>
      </c>
    </row>
    <row r="111" spans="1:39" x14ac:dyDescent="0.35">
      <c r="A111">
        <v>2218938</v>
      </c>
      <c r="B111" t="s">
        <v>39</v>
      </c>
      <c r="C111" t="s">
        <v>40</v>
      </c>
      <c r="D111">
        <v>2218883</v>
      </c>
      <c r="G111" t="s">
        <v>41</v>
      </c>
      <c r="H111" t="s">
        <v>42</v>
      </c>
      <c r="I111" t="s">
        <v>43</v>
      </c>
      <c r="J111" s="1" t="s">
        <v>476</v>
      </c>
      <c r="K111" s="2">
        <v>44869</v>
      </c>
      <c r="L111" s="2">
        <v>44904</v>
      </c>
      <c r="M111" s="2">
        <v>44904</v>
      </c>
      <c r="N111" t="s">
        <v>477</v>
      </c>
      <c r="P111" t="s">
        <v>46</v>
      </c>
      <c r="R111" t="s">
        <v>47</v>
      </c>
      <c r="V111" s="2">
        <v>44904.923784722225</v>
      </c>
      <c r="X111" t="s">
        <v>478</v>
      </c>
      <c r="Y111" t="s">
        <v>479</v>
      </c>
      <c r="AB111" t="s">
        <v>480</v>
      </c>
      <c r="AC111" t="s">
        <v>481</v>
      </c>
      <c r="AE111" t="s">
        <v>482</v>
      </c>
      <c r="AL111" t="s">
        <v>53</v>
      </c>
      <c r="AM111" t="s">
        <v>54</v>
      </c>
    </row>
    <row r="112" spans="1:39" x14ac:dyDescent="0.35">
      <c r="A112">
        <v>2219810</v>
      </c>
      <c r="B112" t="s">
        <v>39</v>
      </c>
      <c r="C112" t="s">
        <v>40</v>
      </c>
      <c r="D112">
        <v>2219806</v>
      </c>
      <c r="G112" t="s">
        <v>41</v>
      </c>
      <c r="H112" t="s">
        <v>224</v>
      </c>
      <c r="I112" t="s">
        <v>43</v>
      </c>
      <c r="J112" s="1" t="s">
        <v>483</v>
      </c>
      <c r="K112" s="2">
        <v>44894</v>
      </c>
      <c r="L112" s="2">
        <v>44917</v>
      </c>
      <c r="M112" s="2">
        <v>44917</v>
      </c>
      <c r="N112" t="s">
        <v>484</v>
      </c>
      <c r="P112" t="s">
        <v>143</v>
      </c>
      <c r="Q112" s="3">
        <v>45016</v>
      </c>
      <c r="R112" t="s">
        <v>485</v>
      </c>
      <c r="S112" t="s">
        <v>145</v>
      </c>
      <c r="T112" t="s">
        <v>228</v>
      </c>
      <c r="U112" s="2">
        <v>44987</v>
      </c>
      <c r="V112" s="2">
        <v>45016.717152777775</v>
      </c>
      <c r="X112" t="s">
        <v>486</v>
      </c>
      <c r="Y112" t="s">
        <v>487</v>
      </c>
      <c r="AA112" s="2">
        <v>44993.720833333333</v>
      </c>
      <c r="AB112" t="s">
        <v>218</v>
      </c>
      <c r="AC112" t="s">
        <v>488</v>
      </c>
      <c r="AD112" t="s">
        <v>150</v>
      </c>
      <c r="AE112" s="1" t="s">
        <v>489</v>
      </c>
      <c r="AF112" t="s">
        <v>490</v>
      </c>
      <c r="AG112" t="s">
        <v>491</v>
      </c>
      <c r="AL112" t="s">
        <v>53</v>
      </c>
      <c r="AM112" t="s">
        <v>54</v>
      </c>
    </row>
    <row r="113" spans="1:39" x14ac:dyDescent="0.35">
      <c r="A113">
        <v>2220466</v>
      </c>
      <c r="B113" t="s">
        <v>39</v>
      </c>
      <c r="C113" t="s">
        <v>41</v>
      </c>
      <c r="D113">
        <v>2220446</v>
      </c>
      <c r="E113">
        <v>1319</v>
      </c>
      <c r="F113" t="s">
        <v>492</v>
      </c>
      <c r="G113" t="s">
        <v>41</v>
      </c>
      <c r="H113" t="s">
        <v>42</v>
      </c>
      <c r="I113" t="s">
        <v>43</v>
      </c>
      <c r="J113" s="1" t="s">
        <v>493</v>
      </c>
      <c r="K113" s="2">
        <v>44938</v>
      </c>
      <c r="L113" s="2">
        <v>44938</v>
      </c>
      <c r="M113" s="2">
        <v>44938</v>
      </c>
      <c r="N113" t="s">
        <v>494</v>
      </c>
      <c r="P113" t="s">
        <v>46</v>
      </c>
      <c r="R113" t="s">
        <v>47</v>
      </c>
      <c r="V113" s="2">
        <v>44938.788124999999</v>
      </c>
      <c r="X113" t="s">
        <v>386</v>
      </c>
      <c r="Y113" t="s">
        <v>387</v>
      </c>
      <c r="AB113" t="s">
        <v>480</v>
      </c>
      <c r="AC113" t="s">
        <v>321</v>
      </c>
      <c r="AE113" s="1" t="s">
        <v>495</v>
      </c>
      <c r="AL113" t="s">
        <v>53</v>
      </c>
      <c r="AM113" t="s">
        <v>54</v>
      </c>
    </row>
    <row r="114" spans="1:39" x14ac:dyDescent="0.35">
      <c r="A114">
        <v>2220521</v>
      </c>
      <c r="B114" t="s">
        <v>39</v>
      </c>
      <c r="C114" t="s">
        <v>41</v>
      </c>
      <c r="D114">
        <v>2220488</v>
      </c>
      <c r="E114">
        <v>1411</v>
      </c>
      <c r="F114" t="s">
        <v>253</v>
      </c>
      <c r="G114" t="s">
        <v>41</v>
      </c>
      <c r="H114" t="s">
        <v>42</v>
      </c>
      <c r="I114" t="s">
        <v>43</v>
      </c>
      <c r="J114" s="1" t="s">
        <v>496</v>
      </c>
      <c r="K114" s="2">
        <v>44938</v>
      </c>
      <c r="L114" s="2">
        <v>44939</v>
      </c>
      <c r="M114" s="2">
        <v>44939</v>
      </c>
      <c r="N114" t="s">
        <v>497</v>
      </c>
      <c r="P114" t="s">
        <v>46</v>
      </c>
      <c r="R114" t="s">
        <v>47</v>
      </c>
      <c r="V114" s="2">
        <v>44939.763888888891</v>
      </c>
      <c r="X114" t="s">
        <v>82</v>
      </c>
      <c r="Y114" t="s">
        <v>83</v>
      </c>
      <c r="AB114" t="s">
        <v>84</v>
      </c>
      <c r="AC114" t="s">
        <v>259</v>
      </c>
      <c r="AE114" s="1" t="s">
        <v>498</v>
      </c>
      <c r="AL114" t="s">
        <v>53</v>
      </c>
      <c r="AM114" t="s">
        <v>54</v>
      </c>
    </row>
    <row r="115" spans="1:39" x14ac:dyDescent="0.35">
      <c r="A115">
        <v>2221015</v>
      </c>
      <c r="B115" t="s">
        <v>39</v>
      </c>
      <c r="C115" t="s">
        <v>41</v>
      </c>
      <c r="D115">
        <v>2220979</v>
      </c>
      <c r="E115">
        <v>1269</v>
      </c>
      <c r="F115" t="s">
        <v>499</v>
      </c>
      <c r="G115" t="s">
        <v>41</v>
      </c>
      <c r="H115" t="s">
        <v>42</v>
      </c>
      <c r="I115" t="s">
        <v>43</v>
      </c>
      <c r="J115" s="1" t="s">
        <v>500</v>
      </c>
      <c r="K115" s="2">
        <v>44950</v>
      </c>
      <c r="L115" s="2">
        <v>44950</v>
      </c>
      <c r="M115" s="2">
        <v>44951</v>
      </c>
      <c r="N115" t="s">
        <v>501</v>
      </c>
      <c r="P115" t="s">
        <v>46</v>
      </c>
      <c r="R115" t="s">
        <v>47</v>
      </c>
      <c r="V115" s="2">
        <v>44951.724652777775</v>
      </c>
      <c r="X115" t="s">
        <v>94</v>
      </c>
      <c r="Y115" t="s">
        <v>162</v>
      </c>
      <c r="AB115" t="s">
        <v>474</v>
      </c>
      <c r="AC115" t="s">
        <v>502</v>
      </c>
      <c r="AE115" t="s">
        <v>503</v>
      </c>
      <c r="AL115" t="s">
        <v>53</v>
      </c>
      <c r="AM115" t="s">
        <v>54</v>
      </c>
    </row>
    <row r="116" spans="1:39" x14ac:dyDescent="0.35">
      <c r="A116">
        <v>2221015</v>
      </c>
      <c r="B116" t="s">
        <v>39</v>
      </c>
      <c r="C116" t="s">
        <v>40</v>
      </c>
      <c r="D116">
        <v>2220979</v>
      </c>
      <c r="G116" t="s">
        <v>41</v>
      </c>
      <c r="H116" t="s">
        <v>42</v>
      </c>
      <c r="I116" t="s">
        <v>43</v>
      </c>
      <c r="J116" s="1" t="s">
        <v>500</v>
      </c>
      <c r="K116" s="2">
        <v>44950</v>
      </c>
      <c r="L116" s="2">
        <v>44950</v>
      </c>
      <c r="M116" s="2">
        <v>44951</v>
      </c>
      <c r="N116" t="s">
        <v>501</v>
      </c>
      <c r="P116" t="s">
        <v>46</v>
      </c>
      <c r="R116" t="s">
        <v>47</v>
      </c>
      <c r="V116" s="2">
        <v>44951.724652777775</v>
      </c>
      <c r="X116" t="s">
        <v>94</v>
      </c>
      <c r="Y116" t="s">
        <v>162</v>
      </c>
      <c r="AB116" t="s">
        <v>474</v>
      </c>
      <c r="AC116" t="s">
        <v>502</v>
      </c>
      <c r="AE116" t="s">
        <v>503</v>
      </c>
      <c r="AL116" t="s">
        <v>53</v>
      </c>
      <c r="AM116" t="s">
        <v>54</v>
      </c>
    </row>
    <row r="117" spans="1:39" x14ac:dyDescent="0.35">
      <c r="A117">
        <v>2221505</v>
      </c>
      <c r="B117" t="s">
        <v>39</v>
      </c>
      <c r="C117" t="s">
        <v>40</v>
      </c>
      <c r="D117">
        <v>2221478</v>
      </c>
      <c r="G117" t="s">
        <v>41</v>
      </c>
      <c r="H117" t="s">
        <v>42</v>
      </c>
      <c r="I117" t="s">
        <v>43</v>
      </c>
      <c r="J117" s="1" t="s">
        <v>504</v>
      </c>
      <c r="K117" s="2">
        <v>44959</v>
      </c>
      <c r="L117" s="2">
        <v>44960</v>
      </c>
      <c r="M117" s="2">
        <v>44960</v>
      </c>
      <c r="N117" t="s">
        <v>505</v>
      </c>
      <c r="P117" t="s">
        <v>46</v>
      </c>
      <c r="R117" t="s">
        <v>47</v>
      </c>
      <c r="V117" s="2">
        <v>44972.666261574072</v>
      </c>
      <c r="X117" t="s">
        <v>120</v>
      </c>
      <c r="Y117" t="s">
        <v>506</v>
      </c>
      <c r="AB117" t="s">
        <v>78</v>
      </c>
      <c r="AC117" t="s">
        <v>507</v>
      </c>
      <c r="AE117" s="1" t="s">
        <v>508</v>
      </c>
      <c r="AL117" t="s">
        <v>53</v>
      </c>
      <c r="AM117" t="s">
        <v>54</v>
      </c>
    </row>
    <row r="118" spans="1:39" x14ac:dyDescent="0.35">
      <c r="A118">
        <v>2221506</v>
      </c>
      <c r="B118" t="s">
        <v>39</v>
      </c>
      <c r="C118" t="s">
        <v>41</v>
      </c>
      <c r="D118">
        <v>2221476</v>
      </c>
      <c r="E118">
        <v>1308</v>
      </c>
      <c r="F118" t="s">
        <v>509</v>
      </c>
      <c r="G118" t="s">
        <v>41</v>
      </c>
      <c r="H118" t="s">
        <v>42</v>
      </c>
      <c r="I118" t="s">
        <v>43</v>
      </c>
      <c r="J118" s="1" t="s">
        <v>510</v>
      </c>
      <c r="K118" s="2">
        <v>44957</v>
      </c>
      <c r="L118" s="2">
        <v>44960</v>
      </c>
      <c r="M118" s="2">
        <v>44960</v>
      </c>
      <c r="N118" t="s">
        <v>511</v>
      </c>
      <c r="P118" t="s">
        <v>46</v>
      </c>
      <c r="R118" t="s">
        <v>47</v>
      </c>
      <c r="V118" s="2">
        <v>44960.855879629627</v>
      </c>
      <c r="X118" t="s">
        <v>236</v>
      </c>
      <c r="Y118" t="s">
        <v>237</v>
      </c>
      <c r="AB118">
        <v>403</v>
      </c>
      <c r="AC118" t="s">
        <v>512</v>
      </c>
      <c r="AE118" t="s">
        <v>513</v>
      </c>
      <c r="AL118" t="s">
        <v>53</v>
      </c>
      <c r="AM118" t="s">
        <v>54</v>
      </c>
    </row>
    <row r="119" spans="1:39" x14ac:dyDescent="0.35">
      <c r="A119">
        <v>2221534</v>
      </c>
      <c r="B119" t="s">
        <v>39</v>
      </c>
      <c r="C119" t="s">
        <v>41</v>
      </c>
      <c r="D119">
        <v>2221469</v>
      </c>
      <c r="E119">
        <v>1098</v>
      </c>
      <c r="F119" t="s">
        <v>389</v>
      </c>
      <c r="G119" t="s">
        <v>41</v>
      </c>
      <c r="H119" t="s">
        <v>42</v>
      </c>
      <c r="I119" t="s">
        <v>43</v>
      </c>
      <c r="J119" s="1" t="s">
        <v>514</v>
      </c>
      <c r="K119" s="2">
        <v>44960</v>
      </c>
      <c r="L119" s="2">
        <v>44960</v>
      </c>
      <c r="M119" s="2">
        <v>44960</v>
      </c>
      <c r="N119" t="s">
        <v>515</v>
      </c>
      <c r="P119" t="s">
        <v>46</v>
      </c>
      <c r="R119" t="s">
        <v>47</v>
      </c>
      <c r="V119" s="2">
        <v>44961.021168981482</v>
      </c>
      <c r="X119" t="s">
        <v>82</v>
      </c>
      <c r="Y119" t="s">
        <v>429</v>
      </c>
      <c r="AB119" t="s">
        <v>84</v>
      </c>
      <c r="AC119" t="s">
        <v>516</v>
      </c>
      <c r="AE119" s="1" t="s">
        <v>517</v>
      </c>
      <c r="AL119" t="s">
        <v>53</v>
      </c>
      <c r="AM119" t="s">
        <v>54</v>
      </c>
    </row>
    <row r="120" spans="1:39" x14ac:dyDescent="0.35">
      <c r="A120">
        <v>2221678</v>
      </c>
      <c r="B120" t="s">
        <v>39</v>
      </c>
      <c r="C120" t="s">
        <v>41</v>
      </c>
      <c r="D120">
        <v>2221627</v>
      </c>
      <c r="E120">
        <v>1319</v>
      </c>
      <c r="F120" t="s">
        <v>492</v>
      </c>
      <c r="G120" t="s">
        <v>41</v>
      </c>
      <c r="H120" t="s">
        <v>42</v>
      </c>
      <c r="I120" t="s">
        <v>43</v>
      </c>
      <c r="J120" s="1" t="s">
        <v>518</v>
      </c>
      <c r="K120" s="2">
        <v>44963</v>
      </c>
      <c r="L120" s="2">
        <v>44964</v>
      </c>
      <c r="M120" s="2">
        <v>44964</v>
      </c>
      <c r="N120" t="s">
        <v>519</v>
      </c>
      <c r="P120" t="s">
        <v>46</v>
      </c>
      <c r="R120" t="s">
        <v>47</v>
      </c>
      <c r="V120" s="2">
        <v>44964.93341435185</v>
      </c>
      <c r="X120" t="s">
        <v>386</v>
      </c>
      <c r="Y120" t="s">
        <v>387</v>
      </c>
      <c r="AB120" t="s">
        <v>78</v>
      </c>
      <c r="AC120" t="s">
        <v>321</v>
      </c>
      <c r="AE120" t="s">
        <v>520</v>
      </c>
      <c r="AL120" t="s">
        <v>53</v>
      </c>
      <c r="AM120" t="s">
        <v>54</v>
      </c>
    </row>
    <row r="121" spans="1:39" x14ac:dyDescent="0.35">
      <c r="A121">
        <v>2221682</v>
      </c>
      <c r="B121" t="s">
        <v>39</v>
      </c>
      <c r="C121" t="s">
        <v>41</v>
      </c>
      <c r="D121">
        <v>2221597</v>
      </c>
      <c r="E121">
        <v>1383</v>
      </c>
      <c r="F121" t="s">
        <v>288</v>
      </c>
      <c r="G121" t="s">
        <v>41</v>
      </c>
      <c r="H121" t="s">
        <v>42</v>
      </c>
      <c r="I121" t="s">
        <v>43</v>
      </c>
      <c r="J121" s="1" t="s">
        <v>521</v>
      </c>
      <c r="K121" s="2">
        <v>44962</v>
      </c>
      <c r="L121" s="2">
        <v>44963</v>
      </c>
      <c r="M121" s="2">
        <v>44964</v>
      </c>
      <c r="N121" t="s">
        <v>522</v>
      </c>
      <c r="P121" t="s">
        <v>46</v>
      </c>
      <c r="R121" t="s">
        <v>47</v>
      </c>
      <c r="V121" s="2">
        <v>44965.030613425923</v>
      </c>
      <c r="X121" t="s">
        <v>82</v>
      </c>
      <c r="Y121" t="s">
        <v>83</v>
      </c>
      <c r="AB121" t="s">
        <v>84</v>
      </c>
      <c r="AC121" t="s">
        <v>259</v>
      </c>
      <c r="AE121" s="1" t="s">
        <v>523</v>
      </c>
      <c r="AL121" t="s">
        <v>53</v>
      </c>
      <c r="AM121" t="s">
        <v>54</v>
      </c>
    </row>
    <row r="122" spans="1:39" x14ac:dyDescent="0.35">
      <c r="A122">
        <v>2221716</v>
      </c>
      <c r="B122" t="s">
        <v>39</v>
      </c>
      <c r="C122" t="s">
        <v>41</v>
      </c>
      <c r="D122">
        <v>2221629</v>
      </c>
      <c r="E122">
        <v>1319</v>
      </c>
      <c r="F122" t="s">
        <v>492</v>
      </c>
      <c r="G122" t="s">
        <v>41</v>
      </c>
      <c r="H122" t="s">
        <v>42</v>
      </c>
      <c r="I122" t="s">
        <v>43</v>
      </c>
      <c r="J122" s="1" t="s">
        <v>524</v>
      </c>
      <c r="K122" s="2">
        <v>44963</v>
      </c>
      <c r="L122" s="2">
        <v>44964</v>
      </c>
      <c r="M122" s="2">
        <v>44965</v>
      </c>
      <c r="N122" t="s">
        <v>525</v>
      </c>
      <c r="P122" t="s">
        <v>46</v>
      </c>
      <c r="R122" t="s">
        <v>47</v>
      </c>
      <c r="V122" s="2">
        <v>44965.617581018516</v>
      </c>
      <c r="X122" t="s">
        <v>105</v>
      </c>
      <c r="Y122" t="s">
        <v>106</v>
      </c>
      <c r="AB122" t="s">
        <v>107</v>
      </c>
      <c r="AC122" t="s">
        <v>321</v>
      </c>
      <c r="AE122" s="1" t="s">
        <v>526</v>
      </c>
      <c r="AL122" t="s">
        <v>53</v>
      </c>
      <c r="AM122" t="s">
        <v>54</v>
      </c>
    </row>
    <row r="123" spans="1:39" x14ac:dyDescent="0.35">
      <c r="A123">
        <v>2222049</v>
      </c>
      <c r="B123" t="s">
        <v>39</v>
      </c>
      <c r="C123" t="s">
        <v>41</v>
      </c>
      <c r="D123">
        <v>2222007</v>
      </c>
      <c r="E123" t="s">
        <v>527</v>
      </c>
      <c r="F123" t="s">
        <v>528</v>
      </c>
      <c r="G123" t="s">
        <v>41</v>
      </c>
      <c r="H123" t="s">
        <v>42</v>
      </c>
      <c r="I123" t="s">
        <v>43</v>
      </c>
      <c r="J123" s="1" t="s">
        <v>529</v>
      </c>
      <c r="K123" s="2">
        <v>44971</v>
      </c>
      <c r="L123" s="2">
        <v>44971</v>
      </c>
      <c r="M123" s="2">
        <v>44971</v>
      </c>
      <c r="N123" t="s">
        <v>530</v>
      </c>
      <c r="P123" t="s">
        <v>46</v>
      </c>
      <c r="R123" t="s">
        <v>47</v>
      </c>
      <c r="V123" s="2">
        <v>44971.854513888888</v>
      </c>
      <c r="X123" t="s">
        <v>531</v>
      </c>
      <c r="Y123" t="s">
        <v>532</v>
      </c>
      <c r="AB123" t="s">
        <v>474</v>
      </c>
      <c r="AC123" t="s">
        <v>321</v>
      </c>
      <c r="AE123" s="1" t="s">
        <v>533</v>
      </c>
      <c r="AL123" t="s">
        <v>53</v>
      </c>
      <c r="AM123" t="s">
        <v>54</v>
      </c>
    </row>
    <row r="124" spans="1:39" x14ac:dyDescent="0.35">
      <c r="A124">
        <v>2222049</v>
      </c>
      <c r="B124" t="s">
        <v>39</v>
      </c>
      <c r="C124" t="s">
        <v>40</v>
      </c>
      <c r="D124">
        <v>2222007</v>
      </c>
      <c r="G124" t="s">
        <v>41</v>
      </c>
      <c r="H124" t="s">
        <v>42</v>
      </c>
      <c r="I124" t="s">
        <v>43</v>
      </c>
      <c r="J124" s="1" t="s">
        <v>529</v>
      </c>
      <c r="K124" s="2">
        <v>44971</v>
      </c>
      <c r="L124" s="2">
        <v>44971</v>
      </c>
      <c r="M124" s="2">
        <v>44971</v>
      </c>
      <c r="N124" t="s">
        <v>530</v>
      </c>
      <c r="P124" t="s">
        <v>46</v>
      </c>
      <c r="R124" t="s">
        <v>47</v>
      </c>
      <c r="V124" s="2">
        <v>44971.854513888888</v>
      </c>
      <c r="X124" t="s">
        <v>531</v>
      </c>
      <c r="Y124" t="s">
        <v>532</v>
      </c>
      <c r="AB124" t="s">
        <v>474</v>
      </c>
      <c r="AC124" t="s">
        <v>321</v>
      </c>
      <c r="AE124" s="1" t="s">
        <v>533</v>
      </c>
      <c r="AL124" t="s">
        <v>53</v>
      </c>
      <c r="AM124" t="s">
        <v>54</v>
      </c>
    </row>
    <row r="125" spans="1:39" x14ac:dyDescent="0.35">
      <c r="A125">
        <v>2222085</v>
      </c>
      <c r="B125" t="s">
        <v>39</v>
      </c>
      <c r="C125" t="s">
        <v>40</v>
      </c>
      <c r="D125">
        <v>2222067</v>
      </c>
      <c r="G125" t="s">
        <v>41</v>
      </c>
      <c r="H125" t="s">
        <v>42</v>
      </c>
      <c r="I125" t="s">
        <v>43</v>
      </c>
      <c r="J125" s="1" t="s">
        <v>534</v>
      </c>
      <c r="K125" s="2">
        <v>44972</v>
      </c>
      <c r="L125" s="2">
        <v>44972</v>
      </c>
      <c r="M125" s="2">
        <v>44972</v>
      </c>
      <c r="N125" t="s">
        <v>535</v>
      </c>
      <c r="P125" t="s">
        <v>46</v>
      </c>
      <c r="Q125" s="3">
        <v>45078</v>
      </c>
      <c r="R125" t="s">
        <v>47</v>
      </c>
      <c r="V125" s="2">
        <v>44978.855787037035</v>
      </c>
      <c r="X125" t="s">
        <v>120</v>
      </c>
      <c r="Y125" t="s">
        <v>536</v>
      </c>
      <c r="AB125" t="s">
        <v>311</v>
      </c>
      <c r="AC125" t="s">
        <v>374</v>
      </c>
      <c r="AE125" t="s">
        <v>537</v>
      </c>
      <c r="AF125" t="s">
        <v>231</v>
      </c>
      <c r="AG125" t="s">
        <v>538</v>
      </c>
      <c r="AL125" t="s">
        <v>53</v>
      </c>
      <c r="AM125" t="s">
        <v>54</v>
      </c>
    </row>
    <row r="126" spans="1:39" x14ac:dyDescent="0.35">
      <c r="A126">
        <v>2222550</v>
      </c>
      <c r="B126" t="s">
        <v>39</v>
      </c>
      <c r="C126" t="s">
        <v>40</v>
      </c>
      <c r="D126">
        <v>2222497</v>
      </c>
      <c r="G126" t="s">
        <v>41</v>
      </c>
      <c r="H126" t="s">
        <v>42</v>
      </c>
      <c r="I126" t="s">
        <v>43</v>
      </c>
      <c r="J126" s="1" t="s">
        <v>539</v>
      </c>
      <c r="K126" s="2">
        <v>44980</v>
      </c>
      <c r="L126" s="2">
        <v>44980</v>
      </c>
      <c r="M126" s="2">
        <v>44981</v>
      </c>
      <c r="N126" t="s">
        <v>540</v>
      </c>
      <c r="P126" t="s">
        <v>46</v>
      </c>
      <c r="R126" t="s">
        <v>47</v>
      </c>
      <c r="V126" s="2">
        <v>44981.768576388888</v>
      </c>
      <c r="X126" t="s">
        <v>94</v>
      </c>
      <c r="Y126" t="s">
        <v>162</v>
      </c>
      <c r="AB126" t="s">
        <v>474</v>
      </c>
      <c r="AC126" t="s">
        <v>189</v>
      </c>
      <c r="AE126" t="e">
        <f>- Pfizer informed ( both global and local)
- ICD was review by Clinical research Associate (CRA) and Country Approval Specialist (CAS) and discussed with local Pfizer and clinician. local Pfizer who reviewed the ICD at the very beginning, confirmed neither banked biospeciment nor BRAF CDx were covered by the ICD and should not be collected for Finnish sites since not approved by EC
-CTM requested unauthorized collected samples for all Finnish patients involved to be destroyed
-ICD has been reviewed with Pfizer clinician and better reworded to be clearer about samples allowed to be collected
-site staff instructed to remove Lab kits tubes specific for BRAF CDx and banked biospeciment PrepD1 to avoid future issues
-site staff informed on how to properly update the eCRF
-site staff will inform patients during FUP vists about the issue
- CRA confirmed no need to notify Ethic Committee or Regulatory Authority</f>
        <v>#NAME?</v>
      </c>
      <c r="AL126" t="s">
        <v>53</v>
      </c>
      <c r="AM126" t="s">
        <v>54</v>
      </c>
    </row>
    <row r="127" spans="1:39" x14ac:dyDescent="0.35">
      <c r="A127">
        <v>2223348</v>
      </c>
      <c r="B127" t="s">
        <v>39</v>
      </c>
      <c r="C127" t="s">
        <v>41</v>
      </c>
      <c r="D127">
        <v>2223315</v>
      </c>
      <c r="E127">
        <v>1291</v>
      </c>
      <c r="F127" t="s">
        <v>541</v>
      </c>
      <c r="G127" t="s">
        <v>41</v>
      </c>
      <c r="H127" t="s">
        <v>42</v>
      </c>
      <c r="I127" t="s">
        <v>43</v>
      </c>
      <c r="J127" s="1" t="s">
        <v>542</v>
      </c>
      <c r="K127" s="2">
        <v>44994</v>
      </c>
      <c r="L127" s="2">
        <v>44995</v>
      </c>
      <c r="M127" s="2">
        <v>44995</v>
      </c>
      <c r="N127" t="s">
        <v>543</v>
      </c>
      <c r="P127" t="s">
        <v>46</v>
      </c>
      <c r="R127" t="s">
        <v>47</v>
      </c>
      <c r="V127" s="2">
        <v>44995.850856481484</v>
      </c>
      <c r="X127" t="s">
        <v>216</v>
      </c>
      <c r="Y127" t="s">
        <v>295</v>
      </c>
      <c r="AB127" t="s">
        <v>474</v>
      </c>
      <c r="AC127" t="s">
        <v>189</v>
      </c>
      <c r="AE127" s="1" t="s">
        <v>544</v>
      </c>
      <c r="AL127" t="s">
        <v>53</v>
      </c>
      <c r="AM127" t="s">
        <v>54</v>
      </c>
    </row>
    <row r="128" spans="1:39" x14ac:dyDescent="0.35">
      <c r="A128">
        <v>2223399</v>
      </c>
      <c r="B128" t="s">
        <v>39</v>
      </c>
      <c r="C128" t="s">
        <v>41</v>
      </c>
      <c r="D128">
        <v>2223349</v>
      </c>
      <c r="E128">
        <v>1322</v>
      </c>
      <c r="F128" t="s">
        <v>545</v>
      </c>
      <c r="G128" t="s">
        <v>41</v>
      </c>
      <c r="H128" t="s">
        <v>42</v>
      </c>
      <c r="I128" t="s">
        <v>43</v>
      </c>
      <c r="J128" s="1" t="s">
        <v>546</v>
      </c>
      <c r="K128" s="2">
        <v>44994</v>
      </c>
      <c r="L128" s="2">
        <v>44995</v>
      </c>
      <c r="M128" s="2">
        <v>44998</v>
      </c>
      <c r="N128" t="s">
        <v>547</v>
      </c>
      <c r="P128" t="s">
        <v>46</v>
      </c>
      <c r="R128" t="s">
        <v>47</v>
      </c>
      <c r="V128" s="2">
        <v>44998.697870370372</v>
      </c>
      <c r="X128" t="s">
        <v>548</v>
      </c>
      <c r="Y128" t="s">
        <v>549</v>
      </c>
      <c r="AB128" t="s">
        <v>550</v>
      </c>
      <c r="AC128" t="s">
        <v>551</v>
      </c>
      <c r="AE128" s="1" t="s">
        <v>552</v>
      </c>
      <c r="AL128" t="s">
        <v>53</v>
      </c>
      <c r="AM128" t="s">
        <v>54</v>
      </c>
    </row>
    <row r="129" spans="1:39" x14ac:dyDescent="0.35">
      <c r="A129">
        <v>2223817</v>
      </c>
      <c r="B129" t="s">
        <v>39</v>
      </c>
      <c r="C129" t="s">
        <v>40</v>
      </c>
      <c r="D129">
        <v>2223799</v>
      </c>
      <c r="G129" t="s">
        <v>41</v>
      </c>
      <c r="H129" t="s">
        <v>224</v>
      </c>
      <c r="I129" t="s">
        <v>43</v>
      </c>
      <c r="J129" s="1" t="s">
        <v>553</v>
      </c>
      <c r="K129" s="2">
        <v>44999</v>
      </c>
      <c r="L129" s="2">
        <v>45006</v>
      </c>
      <c r="M129" s="2">
        <v>45006</v>
      </c>
      <c r="N129" t="s">
        <v>554</v>
      </c>
      <c r="P129" t="s">
        <v>143</v>
      </c>
      <c r="Q129" s="3">
        <v>45230</v>
      </c>
      <c r="R129" t="s">
        <v>555</v>
      </c>
      <c r="S129" t="s">
        <v>145</v>
      </c>
      <c r="T129" t="s">
        <v>228</v>
      </c>
      <c r="U129" s="2">
        <v>45108</v>
      </c>
      <c r="V129" s="2">
        <v>45217.600289351853</v>
      </c>
      <c r="X129" t="s">
        <v>478</v>
      </c>
      <c r="Y129" t="s">
        <v>479</v>
      </c>
      <c r="AA129" s="2">
        <v>45141.861111111109</v>
      </c>
      <c r="AB129" t="s">
        <v>480</v>
      </c>
      <c r="AC129" t="s">
        <v>556</v>
      </c>
      <c r="AD129" t="s">
        <v>150</v>
      </c>
      <c r="AE129" s="1" t="s">
        <v>557</v>
      </c>
      <c r="AF129" t="s">
        <v>558</v>
      </c>
      <c r="AG129" t="s">
        <v>559</v>
      </c>
      <c r="AL129" t="s">
        <v>53</v>
      </c>
      <c r="AM129" t="s">
        <v>54</v>
      </c>
    </row>
    <row r="130" spans="1:39" x14ac:dyDescent="0.35">
      <c r="A130">
        <v>2223873</v>
      </c>
      <c r="B130" t="s">
        <v>39</v>
      </c>
      <c r="C130" t="s">
        <v>41</v>
      </c>
      <c r="D130">
        <v>2223869</v>
      </c>
      <c r="E130">
        <v>1051</v>
      </c>
      <c r="F130" t="s">
        <v>560</v>
      </c>
      <c r="G130" t="s">
        <v>41</v>
      </c>
      <c r="H130" t="s">
        <v>42</v>
      </c>
      <c r="I130" t="s">
        <v>43</v>
      </c>
      <c r="J130" s="1" t="s">
        <v>561</v>
      </c>
      <c r="K130" s="2">
        <v>45007</v>
      </c>
      <c r="L130" s="2">
        <v>45007</v>
      </c>
      <c r="M130" s="2">
        <v>45007</v>
      </c>
      <c r="N130" t="s">
        <v>562</v>
      </c>
      <c r="P130" t="s">
        <v>46</v>
      </c>
      <c r="R130" t="s">
        <v>47</v>
      </c>
      <c r="V130" s="2">
        <v>45007.79960648148</v>
      </c>
      <c r="X130" t="s">
        <v>76</v>
      </c>
      <c r="Y130" t="s">
        <v>77</v>
      </c>
      <c r="AB130" t="s">
        <v>264</v>
      </c>
      <c r="AC130" t="s">
        <v>189</v>
      </c>
      <c r="AE130" s="1" t="s">
        <v>563</v>
      </c>
      <c r="AL130" t="s">
        <v>53</v>
      </c>
      <c r="AM130" t="s">
        <v>54</v>
      </c>
    </row>
    <row r="131" spans="1:39" x14ac:dyDescent="0.35">
      <c r="A131">
        <v>2224470</v>
      </c>
      <c r="B131" t="s">
        <v>39</v>
      </c>
      <c r="C131" t="s">
        <v>40</v>
      </c>
      <c r="D131">
        <v>2224428</v>
      </c>
      <c r="G131" t="s">
        <v>41</v>
      </c>
      <c r="H131" t="s">
        <v>42</v>
      </c>
      <c r="I131" t="s">
        <v>43</v>
      </c>
      <c r="J131" s="1" t="s">
        <v>564</v>
      </c>
      <c r="K131" s="2">
        <v>45016</v>
      </c>
      <c r="L131" s="2">
        <v>45016</v>
      </c>
      <c r="M131" s="2">
        <v>45019</v>
      </c>
      <c r="N131" t="s">
        <v>565</v>
      </c>
      <c r="P131" t="s">
        <v>46</v>
      </c>
      <c r="R131" t="s">
        <v>47</v>
      </c>
      <c r="V131" s="2">
        <v>45019.716817129629</v>
      </c>
      <c r="X131" t="s">
        <v>478</v>
      </c>
      <c r="Y131" t="s">
        <v>566</v>
      </c>
      <c r="AB131" t="s">
        <v>84</v>
      </c>
      <c r="AC131" t="s">
        <v>567</v>
      </c>
      <c r="AE131" t="s">
        <v>568</v>
      </c>
      <c r="AL131" t="s">
        <v>53</v>
      </c>
      <c r="AM131" t="s">
        <v>54</v>
      </c>
    </row>
    <row r="132" spans="1:39" x14ac:dyDescent="0.35">
      <c r="A132">
        <v>2224602</v>
      </c>
      <c r="B132" t="s">
        <v>39</v>
      </c>
      <c r="C132" t="s">
        <v>41</v>
      </c>
      <c r="D132">
        <v>2224594</v>
      </c>
      <c r="E132" t="s">
        <v>569</v>
      </c>
      <c r="F132" t="s">
        <v>570</v>
      </c>
      <c r="G132" t="s">
        <v>41</v>
      </c>
      <c r="H132" t="s">
        <v>42</v>
      </c>
      <c r="I132" t="s">
        <v>43</v>
      </c>
      <c r="J132" s="1" t="s">
        <v>571</v>
      </c>
      <c r="K132" s="2">
        <v>45019</v>
      </c>
      <c r="L132" s="2">
        <v>45021</v>
      </c>
      <c r="M132" s="2">
        <v>45021</v>
      </c>
      <c r="N132" t="s">
        <v>572</v>
      </c>
      <c r="P132" t="s">
        <v>46</v>
      </c>
      <c r="R132" t="s">
        <v>47</v>
      </c>
      <c r="V132" s="2">
        <v>45021.673460648148</v>
      </c>
      <c r="X132" t="s">
        <v>82</v>
      </c>
      <c r="Y132" t="s">
        <v>429</v>
      </c>
      <c r="AB132" t="s">
        <v>84</v>
      </c>
      <c r="AC132" t="s">
        <v>507</v>
      </c>
      <c r="AE132" s="1" t="s">
        <v>573</v>
      </c>
      <c r="AL132" t="s">
        <v>53</v>
      </c>
      <c r="AM132" t="s">
        <v>54</v>
      </c>
    </row>
    <row r="133" spans="1:39" x14ac:dyDescent="0.35">
      <c r="A133">
        <v>2224602</v>
      </c>
      <c r="B133" t="s">
        <v>39</v>
      </c>
      <c r="C133" t="s">
        <v>40</v>
      </c>
      <c r="D133">
        <v>2224594</v>
      </c>
      <c r="G133" t="s">
        <v>41</v>
      </c>
      <c r="H133" t="s">
        <v>42</v>
      </c>
      <c r="I133" t="s">
        <v>43</v>
      </c>
      <c r="J133" s="1" t="s">
        <v>571</v>
      </c>
      <c r="K133" s="2">
        <v>45019</v>
      </c>
      <c r="L133" s="2">
        <v>45021</v>
      </c>
      <c r="M133" s="2">
        <v>45021</v>
      </c>
      <c r="N133" t="s">
        <v>572</v>
      </c>
      <c r="P133" t="s">
        <v>46</v>
      </c>
      <c r="R133" t="s">
        <v>47</v>
      </c>
      <c r="V133" s="2">
        <v>45021.673460648148</v>
      </c>
      <c r="X133" t="s">
        <v>82</v>
      </c>
      <c r="Y133" t="s">
        <v>429</v>
      </c>
      <c r="AB133" t="s">
        <v>84</v>
      </c>
      <c r="AC133" t="s">
        <v>507</v>
      </c>
      <c r="AE133" s="1" t="s">
        <v>573</v>
      </c>
      <c r="AL133" t="s">
        <v>53</v>
      </c>
      <c r="AM133" t="s">
        <v>54</v>
      </c>
    </row>
    <row r="134" spans="1:39" x14ac:dyDescent="0.35">
      <c r="A134">
        <v>2224828</v>
      </c>
      <c r="B134" t="s">
        <v>39</v>
      </c>
      <c r="C134" t="s">
        <v>40</v>
      </c>
      <c r="D134">
        <v>2224818</v>
      </c>
      <c r="G134" t="s">
        <v>41</v>
      </c>
      <c r="H134" t="s">
        <v>42</v>
      </c>
      <c r="I134" t="s">
        <v>43</v>
      </c>
      <c r="J134" s="1" t="s">
        <v>574</v>
      </c>
      <c r="K134" s="2">
        <v>45021</v>
      </c>
      <c r="L134" s="2">
        <v>45027</v>
      </c>
      <c r="M134" s="2">
        <v>45027</v>
      </c>
      <c r="N134" t="s">
        <v>575</v>
      </c>
      <c r="P134" t="s">
        <v>46</v>
      </c>
      <c r="R134" t="s">
        <v>47</v>
      </c>
      <c r="V134" s="2">
        <v>45027.838321759256</v>
      </c>
      <c r="X134" t="s">
        <v>576</v>
      </c>
      <c r="Y134" t="s">
        <v>577</v>
      </c>
      <c r="AB134" t="s">
        <v>59</v>
      </c>
      <c r="AC134" t="s">
        <v>189</v>
      </c>
      <c r="AE134" t="e">
        <f>- CAS has been retrained and reminded that implementation must occur asap after all approvals are in place
- CAS has been asked to keep in mind the status of the approvals and in case ask local Pfizer the confirmation that the amendment can be implemented in case of any doubt</f>
        <v>#NAME?</v>
      </c>
      <c r="AL134" t="s">
        <v>53</v>
      </c>
      <c r="AM134" t="s">
        <v>54</v>
      </c>
    </row>
    <row r="135" spans="1:39" x14ac:dyDescent="0.35">
      <c r="A135">
        <v>2225039</v>
      </c>
      <c r="B135" t="s">
        <v>39</v>
      </c>
      <c r="C135" t="s">
        <v>41</v>
      </c>
      <c r="D135">
        <v>2225029</v>
      </c>
      <c r="E135">
        <v>1316</v>
      </c>
      <c r="F135" t="s">
        <v>578</v>
      </c>
      <c r="G135" t="s">
        <v>41</v>
      </c>
      <c r="H135" t="s">
        <v>42</v>
      </c>
      <c r="I135" t="s">
        <v>43</v>
      </c>
      <c r="J135" s="1" t="s">
        <v>579</v>
      </c>
      <c r="K135" s="2">
        <v>45030</v>
      </c>
      <c r="L135" s="2">
        <v>45030</v>
      </c>
      <c r="M135" s="2">
        <v>45030</v>
      </c>
      <c r="N135" t="s">
        <v>580</v>
      </c>
      <c r="P135" t="s">
        <v>46</v>
      </c>
      <c r="R135" t="s">
        <v>47</v>
      </c>
      <c r="V135" s="2">
        <v>45030.799537037034</v>
      </c>
      <c r="X135" t="s">
        <v>216</v>
      </c>
      <c r="Y135" t="s">
        <v>295</v>
      </c>
      <c r="AB135" t="s">
        <v>218</v>
      </c>
      <c r="AC135" t="s">
        <v>581</v>
      </c>
      <c r="AE135" t="s">
        <v>582</v>
      </c>
      <c r="AL135" t="s">
        <v>53</v>
      </c>
      <c r="AM135" t="s">
        <v>54</v>
      </c>
    </row>
    <row r="136" spans="1:39" x14ac:dyDescent="0.35">
      <c r="A136">
        <v>2225120</v>
      </c>
      <c r="B136" t="s">
        <v>39</v>
      </c>
      <c r="C136" t="s">
        <v>41</v>
      </c>
      <c r="D136">
        <v>2225097</v>
      </c>
      <c r="E136">
        <v>1316</v>
      </c>
      <c r="F136" t="s">
        <v>578</v>
      </c>
      <c r="G136" t="s">
        <v>41</v>
      </c>
      <c r="H136" t="s">
        <v>42</v>
      </c>
      <c r="I136" t="s">
        <v>43</v>
      </c>
      <c r="J136" s="1" t="s">
        <v>583</v>
      </c>
      <c r="K136" s="2">
        <v>45030</v>
      </c>
      <c r="L136" s="2">
        <v>45034</v>
      </c>
      <c r="M136" s="2">
        <v>45034</v>
      </c>
      <c r="N136" t="s">
        <v>584</v>
      </c>
      <c r="P136" t="s">
        <v>46</v>
      </c>
      <c r="R136" t="s">
        <v>47</v>
      </c>
      <c r="V136" s="2">
        <v>45034.716817129629</v>
      </c>
      <c r="X136" t="s">
        <v>585</v>
      </c>
      <c r="Y136" t="s">
        <v>586</v>
      </c>
      <c r="AB136" t="s">
        <v>59</v>
      </c>
      <c r="AC136" t="s">
        <v>581</v>
      </c>
      <c r="AE136" t="s">
        <v>587</v>
      </c>
      <c r="AL136" t="s">
        <v>53</v>
      </c>
      <c r="AM136" t="s">
        <v>54</v>
      </c>
    </row>
    <row r="137" spans="1:39" x14ac:dyDescent="0.35">
      <c r="A137">
        <v>2225120</v>
      </c>
      <c r="B137" t="s">
        <v>39</v>
      </c>
      <c r="C137" t="s">
        <v>40</v>
      </c>
      <c r="D137">
        <v>2225097</v>
      </c>
      <c r="G137" t="s">
        <v>41</v>
      </c>
      <c r="H137" t="s">
        <v>42</v>
      </c>
      <c r="I137" t="s">
        <v>43</v>
      </c>
      <c r="J137" s="1" t="s">
        <v>583</v>
      </c>
      <c r="K137" s="2">
        <v>45030</v>
      </c>
      <c r="L137" s="2">
        <v>45034</v>
      </c>
      <c r="M137" s="2">
        <v>45034</v>
      </c>
      <c r="N137" t="s">
        <v>584</v>
      </c>
      <c r="P137" t="s">
        <v>46</v>
      </c>
      <c r="R137" t="s">
        <v>47</v>
      </c>
      <c r="V137" s="2">
        <v>45034.716817129629</v>
      </c>
      <c r="X137" t="s">
        <v>585</v>
      </c>
      <c r="Y137" t="s">
        <v>586</v>
      </c>
      <c r="AB137" t="s">
        <v>59</v>
      </c>
      <c r="AC137" t="s">
        <v>581</v>
      </c>
      <c r="AE137" t="s">
        <v>587</v>
      </c>
      <c r="AL137" t="s">
        <v>53</v>
      </c>
      <c r="AM137" t="s">
        <v>54</v>
      </c>
    </row>
    <row r="138" spans="1:39" x14ac:dyDescent="0.35">
      <c r="A138">
        <v>2225336</v>
      </c>
      <c r="B138" t="s">
        <v>39</v>
      </c>
      <c r="C138" t="s">
        <v>41</v>
      </c>
      <c r="D138">
        <v>2225300</v>
      </c>
      <c r="E138">
        <v>1264</v>
      </c>
      <c r="F138" t="s">
        <v>184</v>
      </c>
      <c r="G138" t="s">
        <v>41</v>
      </c>
      <c r="H138" t="s">
        <v>42</v>
      </c>
      <c r="I138" t="s">
        <v>43</v>
      </c>
      <c r="J138" s="1" t="s">
        <v>588</v>
      </c>
      <c r="K138" s="2">
        <v>45036</v>
      </c>
      <c r="L138" s="2">
        <v>45037</v>
      </c>
      <c r="M138" s="2">
        <v>45037</v>
      </c>
      <c r="N138" t="s">
        <v>589</v>
      </c>
      <c r="P138" t="s">
        <v>46</v>
      </c>
      <c r="R138" t="s">
        <v>47</v>
      </c>
      <c r="V138" s="2">
        <v>45037.838356481479</v>
      </c>
      <c r="X138" t="s">
        <v>82</v>
      </c>
      <c r="Y138" t="s">
        <v>83</v>
      </c>
      <c r="AB138" t="s">
        <v>84</v>
      </c>
      <c r="AC138" t="s">
        <v>189</v>
      </c>
      <c r="AE138" t="e">
        <f>-CRA retrained the pharmacist
-pharmacist confirmed more strict control will be implemented to avoid recurrence
-DCRs will be done to correct the kit numbers assigned to patients
-Sponsor informed
-Protocol Deviation to be tracked</f>
        <v>#NAME?</v>
      </c>
      <c r="AL138" t="s">
        <v>53</v>
      </c>
      <c r="AM138" t="s">
        <v>54</v>
      </c>
    </row>
    <row r="139" spans="1:39" x14ac:dyDescent="0.35">
      <c r="A139">
        <v>2225708</v>
      </c>
      <c r="B139" t="s">
        <v>39</v>
      </c>
      <c r="C139" t="s">
        <v>41</v>
      </c>
      <c r="D139">
        <v>2225699</v>
      </c>
      <c r="E139">
        <v>1264</v>
      </c>
      <c r="F139" t="s">
        <v>184</v>
      </c>
      <c r="G139" t="s">
        <v>41</v>
      </c>
      <c r="H139" t="s">
        <v>42</v>
      </c>
      <c r="I139" t="s">
        <v>43</v>
      </c>
      <c r="J139" s="1" t="s">
        <v>590</v>
      </c>
      <c r="K139" s="2">
        <v>45048</v>
      </c>
      <c r="L139" s="2">
        <v>45048</v>
      </c>
      <c r="M139" s="2">
        <v>45048</v>
      </c>
      <c r="N139" t="s">
        <v>591</v>
      </c>
      <c r="P139" t="s">
        <v>46</v>
      </c>
      <c r="R139" t="s">
        <v>47</v>
      </c>
      <c r="V139" s="2">
        <v>45048.799432870372</v>
      </c>
      <c r="X139" t="s">
        <v>76</v>
      </c>
      <c r="Y139" t="s">
        <v>77</v>
      </c>
      <c r="AB139" t="s">
        <v>264</v>
      </c>
      <c r="AC139" t="s">
        <v>189</v>
      </c>
      <c r="AE139" s="1" t="s">
        <v>592</v>
      </c>
      <c r="AL139" t="s">
        <v>53</v>
      </c>
      <c r="AM139" t="s">
        <v>54</v>
      </c>
    </row>
    <row r="140" spans="1:39" x14ac:dyDescent="0.35">
      <c r="A140">
        <v>2225779</v>
      </c>
      <c r="B140" t="s">
        <v>39</v>
      </c>
      <c r="C140" t="s">
        <v>40</v>
      </c>
      <c r="D140">
        <v>2225766</v>
      </c>
      <c r="G140" t="s">
        <v>41</v>
      </c>
      <c r="H140" t="s">
        <v>42</v>
      </c>
      <c r="I140" t="s">
        <v>43</v>
      </c>
      <c r="J140" s="1" t="s">
        <v>593</v>
      </c>
      <c r="K140" s="2">
        <v>45048</v>
      </c>
      <c r="L140" s="2">
        <v>45049</v>
      </c>
      <c r="M140" s="2">
        <v>45049</v>
      </c>
      <c r="N140" t="s">
        <v>594</v>
      </c>
      <c r="P140" t="s">
        <v>46</v>
      </c>
      <c r="R140" t="s">
        <v>47</v>
      </c>
      <c r="V140" s="2">
        <v>45049.828611111108</v>
      </c>
      <c r="X140" t="s">
        <v>76</v>
      </c>
      <c r="Y140" t="s">
        <v>77</v>
      </c>
      <c r="AB140">
        <v>411</v>
      </c>
      <c r="AC140" t="s">
        <v>189</v>
      </c>
      <c r="AE140" s="1" t="s">
        <v>595</v>
      </c>
      <c r="AL140" t="s">
        <v>53</v>
      </c>
      <c r="AM140" t="s">
        <v>54</v>
      </c>
    </row>
    <row r="141" spans="1:39" x14ac:dyDescent="0.35">
      <c r="A141">
        <v>2226318</v>
      </c>
      <c r="B141" t="s">
        <v>39</v>
      </c>
      <c r="C141" t="s">
        <v>41</v>
      </c>
      <c r="D141">
        <v>2226291</v>
      </c>
      <c r="E141">
        <v>1003</v>
      </c>
      <c r="F141" t="s">
        <v>596</v>
      </c>
      <c r="G141" t="s">
        <v>41</v>
      </c>
      <c r="H141" t="s">
        <v>42</v>
      </c>
      <c r="I141" t="s">
        <v>43</v>
      </c>
      <c r="J141" s="1" t="s">
        <v>597</v>
      </c>
      <c r="K141" s="2">
        <v>45013</v>
      </c>
      <c r="L141" s="2">
        <v>45062</v>
      </c>
      <c r="M141" s="2">
        <v>45062</v>
      </c>
      <c r="N141" t="s">
        <v>598</v>
      </c>
      <c r="P141" t="s">
        <v>46</v>
      </c>
      <c r="R141" t="s">
        <v>47</v>
      </c>
      <c r="V141" s="2">
        <v>45062.839641203704</v>
      </c>
      <c r="X141" t="s">
        <v>105</v>
      </c>
      <c r="Y141" t="s">
        <v>106</v>
      </c>
      <c r="AB141" t="s">
        <v>107</v>
      </c>
      <c r="AC141" t="s">
        <v>599</v>
      </c>
      <c r="AE141" t="s">
        <v>600</v>
      </c>
      <c r="AL141" t="s">
        <v>53</v>
      </c>
      <c r="AM141" t="s">
        <v>54</v>
      </c>
    </row>
    <row r="142" spans="1:39" x14ac:dyDescent="0.35">
      <c r="A142">
        <v>2226332</v>
      </c>
      <c r="B142" t="s">
        <v>39</v>
      </c>
      <c r="C142" t="s">
        <v>41</v>
      </c>
      <c r="D142">
        <v>2226302</v>
      </c>
      <c r="E142">
        <v>1055</v>
      </c>
      <c r="F142" t="s">
        <v>601</v>
      </c>
      <c r="G142" t="s">
        <v>41</v>
      </c>
      <c r="H142" t="s">
        <v>42</v>
      </c>
      <c r="I142" t="s">
        <v>43</v>
      </c>
      <c r="J142" s="1" t="s">
        <v>602</v>
      </c>
      <c r="K142" s="2">
        <v>45062</v>
      </c>
      <c r="L142" s="2">
        <v>45062</v>
      </c>
      <c r="M142" s="2">
        <v>45062</v>
      </c>
      <c r="N142" t="s">
        <v>603</v>
      </c>
      <c r="P142" t="s">
        <v>46</v>
      </c>
      <c r="R142" t="s">
        <v>47</v>
      </c>
      <c r="V142" s="2">
        <v>45062.921249999999</v>
      </c>
      <c r="X142" t="s">
        <v>82</v>
      </c>
      <c r="Y142" t="s">
        <v>83</v>
      </c>
      <c r="AB142" t="s">
        <v>84</v>
      </c>
      <c r="AC142" t="s">
        <v>189</v>
      </c>
      <c r="AE142" s="1" t="s">
        <v>604</v>
      </c>
      <c r="AL142" t="s">
        <v>53</v>
      </c>
      <c r="AM142" t="s">
        <v>54</v>
      </c>
    </row>
    <row r="143" spans="1:39" x14ac:dyDescent="0.35">
      <c r="A143">
        <v>2226549</v>
      </c>
      <c r="B143" t="s">
        <v>39</v>
      </c>
      <c r="C143" t="s">
        <v>41</v>
      </c>
      <c r="D143">
        <v>2226510</v>
      </c>
      <c r="E143">
        <v>1371</v>
      </c>
      <c r="F143" t="s">
        <v>605</v>
      </c>
      <c r="G143" t="s">
        <v>41</v>
      </c>
      <c r="H143" t="s">
        <v>42</v>
      </c>
      <c r="I143" t="s">
        <v>43</v>
      </c>
      <c r="J143" s="1" t="s">
        <v>606</v>
      </c>
      <c r="K143" s="2">
        <v>45065</v>
      </c>
      <c r="L143" s="2">
        <v>45065</v>
      </c>
      <c r="M143" s="2">
        <v>45068</v>
      </c>
      <c r="N143" t="s">
        <v>607</v>
      </c>
      <c r="P143" t="s">
        <v>46</v>
      </c>
      <c r="R143" t="s">
        <v>47</v>
      </c>
      <c r="V143" s="2">
        <v>45068.634722222225</v>
      </c>
      <c r="X143" t="s">
        <v>608</v>
      </c>
      <c r="Y143" t="s">
        <v>609</v>
      </c>
      <c r="AB143" t="s">
        <v>610</v>
      </c>
      <c r="AC143" t="s">
        <v>189</v>
      </c>
      <c r="AE143" s="1" t="s">
        <v>611</v>
      </c>
      <c r="AL143" t="s">
        <v>53</v>
      </c>
      <c r="AM143" t="s">
        <v>54</v>
      </c>
    </row>
    <row r="144" spans="1:39" x14ac:dyDescent="0.35">
      <c r="A144">
        <v>2226723</v>
      </c>
      <c r="B144" t="s">
        <v>39</v>
      </c>
      <c r="C144" t="s">
        <v>41</v>
      </c>
      <c r="D144">
        <v>2226671</v>
      </c>
      <c r="E144">
        <v>1003</v>
      </c>
      <c r="F144" t="s">
        <v>596</v>
      </c>
      <c r="G144" t="s">
        <v>41</v>
      </c>
      <c r="H144" t="s">
        <v>42</v>
      </c>
      <c r="I144" t="s">
        <v>43</v>
      </c>
      <c r="J144" s="1" t="s">
        <v>612</v>
      </c>
      <c r="K144" s="2">
        <v>45070</v>
      </c>
      <c r="L144" s="2">
        <v>45070</v>
      </c>
      <c r="M144" s="2">
        <v>45070</v>
      </c>
      <c r="N144" t="s">
        <v>613</v>
      </c>
      <c r="P144" t="s">
        <v>46</v>
      </c>
      <c r="R144" t="s">
        <v>47</v>
      </c>
      <c r="V144" s="2">
        <v>45070.901898148149</v>
      </c>
      <c r="X144" t="s">
        <v>120</v>
      </c>
      <c r="Y144" t="s">
        <v>614</v>
      </c>
      <c r="AB144" t="s">
        <v>480</v>
      </c>
      <c r="AC144" t="s">
        <v>599</v>
      </c>
      <c r="AE144" t="s">
        <v>615</v>
      </c>
      <c r="AL144" t="s">
        <v>53</v>
      </c>
      <c r="AM144" t="s">
        <v>54</v>
      </c>
    </row>
    <row r="145" spans="1:39" x14ac:dyDescent="0.35">
      <c r="A145">
        <v>2227036</v>
      </c>
      <c r="B145" t="s">
        <v>39</v>
      </c>
      <c r="C145" t="s">
        <v>40</v>
      </c>
      <c r="D145">
        <v>2227013</v>
      </c>
      <c r="G145" t="s">
        <v>41</v>
      </c>
      <c r="H145" t="s">
        <v>42</v>
      </c>
      <c r="I145" t="s">
        <v>43</v>
      </c>
      <c r="J145" s="1" t="s">
        <v>616</v>
      </c>
      <c r="K145" s="2">
        <v>45077</v>
      </c>
      <c r="L145" s="2">
        <v>45078</v>
      </c>
      <c r="M145" s="2">
        <v>45078</v>
      </c>
      <c r="N145" t="s">
        <v>617</v>
      </c>
      <c r="P145" t="s">
        <v>46</v>
      </c>
      <c r="R145" t="s">
        <v>47</v>
      </c>
      <c r="V145" s="2">
        <v>45078.834444444445</v>
      </c>
      <c r="X145" t="s">
        <v>94</v>
      </c>
      <c r="Y145" t="s">
        <v>95</v>
      </c>
      <c r="AB145" t="s">
        <v>50</v>
      </c>
      <c r="AC145" t="s">
        <v>618</v>
      </c>
      <c r="AE145" t="s">
        <v>619</v>
      </c>
      <c r="AL145" t="s">
        <v>53</v>
      </c>
      <c r="AM145" t="s">
        <v>54</v>
      </c>
    </row>
    <row r="146" spans="1:39" x14ac:dyDescent="0.35">
      <c r="A146">
        <v>2227471</v>
      </c>
      <c r="B146" t="s">
        <v>39</v>
      </c>
      <c r="C146" t="s">
        <v>41</v>
      </c>
      <c r="D146">
        <v>2227460</v>
      </c>
      <c r="E146">
        <v>1279</v>
      </c>
      <c r="F146" t="s">
        <v>620</v>
      </c>
      <c r="G146" t="s">
        <v>41</v>
      </c>
      <c r="H146" t="s">
        <v>42</v>
      </c>
      <c r="I146" t="s">
        <v>43</v>
      </c>
      <c r="J146" s="1" t="s">
        <v>621</v>
      </c>
      <c r="K146" s="2">
        <v>45089</v>
      </c>
      <c r="L146" s="2">
        <v>45090</v>
      </c>
      <c r="M146" s="2">
        <v>45090</v>
      </c>
      <c r="N146" t="s">
        <v>622</v>
      </c>
      <c r="P146" t="s">
        <v>46</v>
      </c>
      <c r="R146" t="s">
        <v>47</v>
      </c>
      <c r="V146" s="2">
        <v>45090.640046296299</v>
      </c>
      <c r="X146" t="s">
        <v>608</v>
      </c>
      <c r="Y146" t="s">
        <v>609</v>
      </c>
      <c r="AB146" t="s">
        <v>623</v>
      </c>
      <c r="AC146" t="s">
        <v>189</v>
      </c>
      <c r="AE146" s="1" t="s">
        <v>624</v>
      </c>
      <c r="AL146" t="s">
        <v>53</v>
      </c>
      <c r="AM146" t="s">
        <v>54</v>
      </c>
    </row>
    <row r="147" spans="1:39" x14ac:dyDescent="0.35">
      <c r="A147">
        <v>2227681</v>
      </c>
      <c r="B147" t="s">
        <v>39</v>
      </c>
      <c r="C147" t="s">
        <v>41</v>
      </c>
      <c r="D147">
        <v>2227651</v>
      </c>
      <c r="E147">
        <v>1055</v>
      </c>
      <c r="F147" t="s">
        <v>601</v>
      </c>
      <c r="G147" t="s">
        <v>41</v>
      </c>
      <c r="H147" t="s">
        <v>42</v>
      </c>
      <c r="I147" t="s">
        <v>43</v>
      </c>
      <c r="J147" s="1" t="s">
        <v>625</v>
      </c>
      <c r="K147" s="2">
        <v>45092</v>
      </c>
      <c r="L147" s="2">
        <v>45093</v>
      </c>
      <c r="M147" s="2">
        <v>45093</v>
      </c>
      <c r="N147" t="s">
        <v>626</v>
      </c>
      <c r="P147" t="s">
        <v>46</v>
      </c>
      <c r="R147" t="s">
        <v>47</v>
      </c>
      <c r="V147" s="2">
        <v>45093.765659722223</v>
      </c>
      <c r="X147" t="s">
        <v>82</v>
      </c>
      <c r="Y147" t="s">
        <v>83</v>
      </c>
      <c r="AB147" t="s">
        <v>84</v>
      </c>
      <c r="AC147" t="s">
        <v>189</v>
      </c>
      <c r="AE147" t="e">
        <f>-CRA and local Pfizer re-trained Pharmacy staff about the correct IP preparation conditions during IMV done in June
-CRA requested a written procedure specific for the Breakwater Study to guide all pharmacists on what is requested for our Study and our IP preparation
- CRA to double check correct BSC is used as per IP manual instructions
- retraining to all Pharmacy staff involved in the Study IP preparation to be completed asap
- PD to be tracked
- PI to be informed and Follow up closely the issue resolution
- global Pfizer informed
- site staff proposing to add on a label the info that C4221015 infusional IP must be entirely prepared under BSC-- CTM to understand if acceptable for Pfizer procedures</f>
        <v>#NAME?</v>
      </c>
      <c r="AL147" t="s">
        <v>53</v>
      </c>
      <c r="AM147" t="s">
        <v>54</v>
      </c>
    </row>
    <row r="148" spans="1:39" x14ac:dyDescent="0.35">
      <c r="A148">
        <v>2228340</v>
      </c>
      <c r="B148" t="s">
        <v>39</v>
      </c>
      <c r="C148" t="s">
        <v>41</v>
      </c>
      <c r="D148">
        <v>2228318</v>
      </c>
      <c r="E148">
        <v>1055</v>
      </c>
      <c r="F148" t="s">
        <v>601</v>
      </c>
      <c r="G148" t="s">
        <v>41</v>
      </c>
      <c r="H148" t="s">
        <v>224</v>
      </c>
      <c r="I148" t="s">
        <v>43</v>
      </c>
      <c r="J148" s="1" t="s">
        <v>627</v>
      </c>
      <c r="K148" s="2">
        <v>45093</v>
      </c>
      <c r="L148" s="2">
        <v>45112</v>
      </c>
      <c r="M148" s="2">
        <v>45112</v>
      </c>
      <c r="N148" t="s">
        <v>628</v>
      </c>
      <c r="P148" t="s">
        <v>143</v>
      </c>
      <c r="Q148" s="3">
        <v>45218</v>
      </c>
      <c r="R148" t="s">
        <v>629</v>
      </c>
      <c r="S148" t="s">
        <v>630</v>
      </c>
      <c r="U148" s="2">
        <v>45191</v>
      </c>
      <c r="V148" s="2">
        <v>45201.557291666664</v>
      </c>
      <c r="X148" t="s">
        <v>82</v>
      </c>
      <c r="Y148" t="s">
        <v>83</v>
      </c>
      <c r="AA148" s="2">
        <v>45198.712500000001</v>
      </c>
      <c r="AB148" t="s">
        <v>84</v>
      </c>
      <c r="AC148" t="s">
        <v>189</v>
      </c>
      <c r="AD148" t="s">
        <v>145</v>
      </c>
      <c r="AE148" s="1" t="s">
        <v>631</v>
      </c>
      <c r="AF148" t="s">
        <v>632</v>
      </c>
      <c r="AG148" t="s">
        <v>633</v>
      </c>
      <c r="AL148" t="s">
        <v>53</v>
      </c>
      <c r="AM148" t="s">
        <v>54</v>
      </c>
    </row>
    <row r="149" spans="1:39" x14ac:dyDescent="0.35">
      <c r="A149">
        <v>2228514</v>
      </c>
      <c r="B149" t="s">
        <v>39</v>
      </c>
      <c r="C149" t="s">
        <v>41</v>
      </c>
      <c r="D149">
        <v>2228509</v>
      </c>
      <c r="E149">
        <v>1055</v>
      </c>
      <c r="F149" t="s">
        <v>601</v>
      </c>
      <c r="G149" t="s">
        <v>41</v>
      </c>
      <c r="H149" t="s">
        <v>42</v>
      </c>
      <c r="I149" t="s">
        <v>43</v>
      </c>
      <c r="J149" s="1" t="s">
        <v>634</v>
      </c>
      <c r="K149" s="2">
        <v>45117</v>
      </c>
      <c r="L149" s="2">
        <v>45117</v>
      </c>
      <c r="M149" s="2">
        <v>45117</v>
      </c>
      <c r="N149" t="s">
        <v>635</v>
      </c>
      <c r="P149" t="s">
        <v>46</v>
      </c>
      <c r="R149" t="s">
        <v>47</v>
      </c>
      <c r="V149" s="2">
        <v>45117.760821759257</v>
      </c>
      <c r="X149" t="s">
        <v>48</v>
      </c>
      <c r="Y149" t="s">
        <v>65</v>
      </c>
      <c r="AB149" t="s">
        <v>480</v>
      </c>
      <c r="AC149" t="s">
        <v>189</v>
      </c>
      <c r="AE149" s="1" t="s">
        <v>636</v>
      </c>
      <c r="AL149" t="s">
        <v>53</v>
      </c>
      <c r="AM149" t="s">
        <v>54</v>
      </c>
    </row>
    <row r="150" spans="1:39" x14ac:dyDescent="0.35">
      <c r="A150">
        <v>2228589</v>
      </c>
      <c r="B150" t="s">
        <v>39</v>
      </c>
      <c r="C150" t="s">
        <v>41</v>
      </c>
      <c r="D150">
        <v>2228573</v>
      </c>
      <c r="E150">
        <v>1230</v>
      </c>
      <c r="F150" t="s">
        <v>637</v>
      </c>
      <c r="G150" t="s">
        <v>41</v>
      </c>
      <c r="H150" t="s">
        <v>42</v>
      </c>
      <c r="I150" t="s">
        <v>43</v>
      </c>
      <c r="J150" s="1" t="s">
        <v>638</v>
      </c>
      <c r="K150" s="2">
        <v>45118</v>
      </c>
      <c r="L150" s="2">
        <v>45119</v>
      </c>
      <c r="M150" s="2">
        <v>45119</v>
      </c>
      <c r="N150" t="s">
        <v>639</v>
      </c>
      <c r="P150" t="s">
        <v>46</v>
      </c>
      <c r="R150" t="s">
        <v>47</v>
      </c>
      <c r="V150" s="2">
        <v>45119.619849537034</v>
      </c>
      <c r="X150" t="s">
        <v>640</v>
      </c>
      <c r="Y150" t="s">
        <v>641</v>
      </c>
      <c r="AB150" t="s">
        <v>59</v>
      </c>
      <c r="AC150" t="s">
        <v>581</v>
      </c>
      <c r="AE150" t="s">
        <v>642</v>
      </c>
      <c r="AL150" t="s">
        <v>53</v>
      </c>
      <c r="AM150" t="s">
        <v>54</v>
      </c>
    </row>
    <row r="151" spans="1:39" x14ac:dyDescent="0.35">
      <c r="A151">
        <v>2228695</v>
      </c>
      <c r="B151" t="s">
        <v>39</v>
      </c>
      <c r="C151" t="s">
        <v>41</v>
      </c>
      <c r="D151">
        <v>2228689</v>
      </c>
      <c r="E151">
        <v>1185</v>
      </c>
      <c r="F151" t="s">
        <v>643</v>
      </c>
      <c r="G151" t="s">
        <v>41</v>
      </c>
      <c r="H151" t="s">
        <v>42</v>
      </c>
      <c r="I151" t="s">
        <v>43</v>
      </c>
      <c r="J151" s="1" t="s">
        <v>644</v>
      </c>
      <c r="K151" s="2">
        <v>45093</v>
      </c>
      <c r="L151" s="2">
        <v>45120</v>
      </c>
      <c r="M151" s="2">
        <v>45120</v>
      </c>
      <c r="N151" t="s">
        <v>645</v>
      </c>
      <c r="P151" t="s">
        <v>46</v>
      </c>
      <c r="R151" t="s">
        <v>47</v>
      </c>
      <c r="V151" s="2">
        <v>45120.799560185187</v>
      </c>
      <c r="X151" t="s">
        <v>216</v>
      </c>
      <c r="Y151" t="s">
        <v>295</v>
      </c>
      <c r="AB151" t="s">
        <v>646</v>
      </c>
      <c r="AC151" t="s">
        <v>647</v>
      </c>
      <c r="AE151" t="s">
        <v>648</v>
      </c>
      <c r="AL151" t="s">
        <v>53</v>
      </c>
      <c r="AM151" t="s">
        <v>54</v>
      </c>
    </row>
    <row r="152" spans="1:39" x14ac:dyDescent="0.35">
      <c r="A152">
        <v>2228835</v>
      </c>
      <c r="B152" t="s">
        <v>39</v>
      </c>
      <c r="C152" t="s">
        <v>40</v>
      </c>
      <c r="D152">
        <v>2228791</v>
      </c>
      <c r="G152" t="s">
        <v>41</v>
      </c>
      <c r="H152" t="s">
        <v>42</v>
      </c>
      <c r="I152" t="s">
        <v>43</v>
      </c>
      <c r="J152" s="1" t="s">
        <v>649</v>
      </c>
      <c r="K152" s="2">
        <v>45120</v>
      </c>
      <c r="L152" s="2">
        <v>45124</v>
      </c>
      <c r="M152" s="2">
        <v>45125</v>
      </c>
      <c r="N152" t="s">
        <v>650</v>
      </c>
      <c r="P152" t="s">
        <v>46</v>
      </c>
      <c r="R152" t="s">
        <v>47</v>
      </c>
      <c r="V152" s="2">
        <v>45125.659062500003</v>
      </c>
      <c r="X152" t="s">
        <v>82</v>
      </c>
      <c r="Y152" t="s">
        <v>651</v>
      </c>
      <c r="AB152" t="s">
        <v>84</v>
      </c>
      <c r="AC152" t="s">
        <v>176</v>
      </c>
      <c r="AE152" s="1" t="s">
        <v>652</v>
      </c>
      <c r="AL152" t="s">
        <v>53</v>
      </c>
      <c r="AM152" t="s">
        <v>54</v>
      </c>
    </row>
    <row r="153" spans="1:39" x14ac:dyDescent="0.35">
      <c r="A153">
        <v>2229025</v>
      </c>
      <c r="B153" t="s">
        <v>39</v>
      </c>
      <c r="C153" t="s">
        <v>41</v>
      </c>
      <c r="D153">
        <v>2228994</v>
      </c>
      <c r="E153">
        <v>1296</v>
      </c>
      <c r="F153" t="s">
        <v>102</v>
      </c>
      <c r="G153" t="s">
        <v>41</v>
      </c>
      <c r="H153" t="s">
        <v>224</v>
      </c>
      <c r="I153" t="s">
        <v>43</v>
      </c>
      <c r="J153" s="1" t="s">
        <v>653</v>
      </c>
      <c r="K153" s="2">
        <v>45125</v>
      </c>
      <c r="L153" s="2">
        <v>45128</v>
      </c>
      <c r="M153" s="2">
        <v>45128</v>
      </c>
      <c r="N153" t="s">
        <v>654</v>
      </c>
      <c r="P153" t="s">
        <v>143</v>
      </c>
      <c r="Q153" s="3">
        <v>45236</v>
      </c>
      <c r="R153" t="s">
        <v>655</v>
      </c>
      <c r="S153" t="s">
        <v>145</v>
      </c>
      <c r="T153" t="s">
        <v>656</v>
      </c>
      <c r="U153" s="2">
        <v>45166</v>
      </c>
      <c r="V153" s="2">
        <v>45191.624745370369</v>
      </c>
      <c r="X153" t="s">
        <v>105</v>
      </c>
      <c r="Y153" t="s">
        <v>106</v>
      </c>
      <c r="AA153" s="2">
        <v>45167.597916666666</v>
      </c>
      <c r="AB153" t="s">
        <v>107</v>
      </c>
      <c r="AC153" t="s">
        <v>85</v>
      </c>
      <c r="AD153" t="s">
        <v>150</v>
      </c>
      <c r="AE153" s="1" t="s">
        <v>657</v>
      </c>
      <c r="AF153" t="s">
        <v>658</v>
      </c>
      <c r="AG153" t="s">
        <v>659</v>
      </c>
      <c r="AL153" t="s">
        <v>53</v>
      </c>
      <c r="AM153" t="s">
        <v>54</v>
      </c>
    </row>
    <row r="154" spans="1:39" x14ac:dyDescent="0.35">
      <c r="A154">
        <v>2229179</v>
      </c>
      <c r="B154" t="s">
        <v>39</v>
      </c>
      <c r="C154" t="s">
        <v>41</v>
      </c>
      <c r="D154">
        <v>2229140</v>
      </c>
      <c r="E154" t="s">
        <v>660</v>
      </c>
      <c r="F154" t="s">
        <v>661</v>
      </c>
      <c r="G154" t="s">
        <v>41</v>
      </c>
      <c r="H154" t="s">
        <v>42</v>
      </c>
      <c r="I154" t="s">
        <v>43</v>
      </c>
      <c r="J154" s="1" t="s">
        <v>662</v>
      </c>
      <c r="K154" s="2">
        <v>45131</v>
      </c>
      <c r="L154" s="2">
        <v>45132</v>
      </c>
      <c r="M154" s="2">
        <v>45132</v>
      </c>
      <c r="N154" t="s">
        <v>663</v>
      </c>
      <c r="P154" t="s">
        <v>46</v>
      </c>
      <c r="Q154" s="3">
        <v>45238</v>
      </c>
      <c r="R154" t="s">
        <v>47</v>
      </c>
      <c r="V154" s="2">
        <v>45180.516365740739</v>
      </c>
      <c r="X154" t="s">
        <v>236</v>
      </c>
      <c r="Y154" t="s">
        <v>237</v>
      </c>
      <c r="AB154">
        <v>411</v>
      </c>
      <c r="AC154" t="s">
        <v>664</v>
      </c>
      <c r="AE154" t="s">
        <v>665</v>
      </c>
      <c r="AF154" t="s">
        <v>666</v>
      </c>
      <c r="AG154" t="s">
        <v>633</v>
      </c>
      <c r="AL154" t="s">
        <v>53</v>
      </c>
      <c r="AM154" t="s">
        <v>54</v>
      </c>
    </row>
    <row r="155" spans="1:39" x14ac:dyDescent="0.35">
      <c r="A155" t="s">
        <v>667</v>
      </c>
      <c r="B155" t="s">
        <v>39</v>
      </c>
      <c r="C155" t="s">
        <v>41</v>
      </c>
      <c r="D155" t="s">
        <v>667</v>
      </c>
      <c r="E155">
        <v>1413</v>
      </c>
      <c r="F155" t="s">
        <v>668</v>
      </c>
      <c r="G155" t="s">
        <v>41</v>
      </c>
      <c r="H155" t="s">
        <v>42</v>
      </c>
      <c r="I155" t="s">
        <v>43</v>
      </c>
      <c r="J155" t="s">
        <v>669</v>
      </c>
      <c r="K155" s="2">
        <v>45146</v>
      </c>
      <c r="L155" s="2">
        <v>45148</v>
      </c>
      <c r="M155" s="2">
        <v>45148.641932870371</v>
      </c>
      <c r="N155" t="s">
        <v>670</v>
      </c>
      <c r="P155" t="s">
        <v>46</v>
      </c>
      <c r="S155" t="s">
        <v>145</v>
      </c>
      <c r="V155" s="2">
        <v>45148</v>
      </c>
      <c r="X155" t="s">
        <v>82</v>
      </c>
      <c r="Y155" t="s">
        <v>83</v>
      </c>
      <c r="AB155" t="s">
        <v>671</v>
      </c>
      <c r="AC155" t="s">
        <v>259</v>
      </c>
      <c r="AE155" t="s">
        <v>672</v>
      </c>
      <c r="AH155" t="s">
        <v>673</v>
      </c>
      <c r="AI155" t="s">
        <v>674</v>
      </c>
      <c r="AJ155" t="s">
        <v>675</v>
      </c>
      <c r="AL155" t="s">
        <v>53</v>
      </c>
      <c r="AM155" t="s">
        <v>54</v>
      </c>
    </row>
    <row r="156" spans="1:39" x14ac:dyDescent="0.35">
      <c r="A156" t="s">
        <v>676</v>
      </c>
      <c r="B156" t="s">
        <v>39</v>
      </c>
      <c r="C156" t="s">
        <v>41</v>
      </c>
      <c r="D156" t="s">
        <v>676</v>
      </c>
      <c r="E156">
        <v>1455</v>
      </c>
      <c r="F156" t="s">
        <v>677</v>
      </c>
      <c r="G156" t="s">
        <v>41</v>
      </c>
      <c r="H156" t="s">
        <v>42</v>
      </c>
      <c r="I156" t="s">
        <v>43</v>
      </c>
      <c r="J156" t="s">
        <v>678</v>
      </c>
      <c r="K156" s="2">
        <v>45160</v>
      </c>
      <c r="L156" s="2">
        <v>45160</v>
      </c>
      <c r="M156" s="2">
        <v>45160.797164351854</v>
      </c>
      <c r="N156" t="s">
        <v>679</v>
      </c>
      <c r="P156" t="s">
        <v>46</v>
      </c>
      <c r="S156" t="s">
        <v>145</v>
      </c>
      <c r="V156" s="2">
        <v>45160</v>
      </c>
      <c r="X156" t="s">
        <v>76</v>
      </c>
      <c r="Y156" t="s">
        <v>77</v>
      </c>
      <c r="AB156" t="s">
        <v>680</v>
      </c>
      <c r="AC156" t="s">
        <v>286</v>
      </c>
      <c r="AE156" t="s">
        <v>681</v>
      </c>
      <c r="AH156" t="s">
        <v>673</v>
      </c>
      <c r="AI156" t="s">
        <v>674</v>
      </c>
      <c r="AJ156" t="s">
        <v>682</v>
      </c>
      <c r="AL156" t="s">
        <v>53</v>
      </c>
      <c r="AM156" t="s">
        <v>54</v>
      </c>
    </row>
    <row r="157" spans="1:39" x14ac:dyDescent="0.35">
      <c r="A157" t="s">
        <v>683</v>
      </c>
      <c r="B157" t="s">
        <v>39</v>
      </c>
      <c r="C157" t="s">
        <v>40</v>
      </c>
      <c r="D157" t="s">
        <v>683</v>
      </c>
      <c r="F157" t="s">
        <v>684</v>
      </c>
      <c r="G157" t="s">
        <v>41</v>
      </c>
      <c r="H157" t="s">
        <v>224</v>
      </c>
      <c r="I157" t="s">
        <v>43</v>
      </c>
      <c r="J157" t="s">
        <v>685</v>
      </c>
      <c r="K157" s="2">
        <v>45161</v>
      </c>
      <c r="L157" s="2">
        <v>45167</v>
      </c>
      <c r="M157" s="2">
        <v>45167.780682870369</v>
      </c>
      <c r="N157" t="s">
        <v>686</v>
      </c>
      <c r="P157" t="s">
        <v>143</v>
      </c>
      <c r="R157" t="s">
        <v>687</v>
      </c>
      <c r="S157" t="s">
        <v>630</v>
      </c>
      <c r="U157" s="2">
        <v>45287</v>
      </c>
      <c r="V157" s="2">
        <v>45733</v>
      </c>
      <c r="X157" t="s">
        <v>94</v>
      </c>
      <c r="Y157" t="s">
        <v>162</v>
      </c>
      <c r="AA157" s="2">
        <v>45287.717129629629</v>
      </c>
      <c r="AB157" t="s">
        <v>474</v>
      </c>
      <c r="AC157" t="s">
        <v>502</v>
      </c>
      <c r="AD157" t="b">
        <v>0</v>
      </c>
      <c r="AE157" t="s">
        <v>688</v>
      </c>
      <c r="AH157" t="s">
        <v>689</v>
      </c>
      <c r="AI157" t="s">
        <v>690</v>
      </c>
      <c r="AJ157" t="s">
        <v>691</v>
      </c>
      <c r="AK157" t="s">
        <v>692</v>
      </c>
      <c r="AL157" t="s">
        <v>53</v>
      </c>
      <c r="AM157" t="s">
        <v>54</v>
      </c>
    </row>
    <row r="158" spans="1:39" x14ac:dyDescent="0.35">
      <c r="A158" t="s">
        <v>693</v>
      </c>
      <c r="B158" t="s">
        <v>39</v>
      </c>
      <c r="C158" t="s">
        <v>41</v>
      </c>
      <c r="D158" t="s">
        <v>693</v>
      </c>
      <c r="E158">
        <v>1402</v>
      </c>
      <c r="F158" t="s">
        <v>694</v>
      </c>
      <c r="G158" t="s">
        <v>41</v>
      </c>
      <c r="H158" t="s">
        <v>42</v>
      </c>
      <c r="I158" t="s">
        <v>43</v>
      </c>
      <c r="J158" t="s">
        <v>695</v>
      </c>
      <c r="K158" s="2">
        <v>45162</v>
      </c>
      <c r="L158" s="2">
        <v>45167</v>
      </c>
      <c r="M158" s="2">
        <v>45167.63921296296</v>
      </c>
      <c r="N158" t="s">
        <v>696</v>
      </c>
      <c r="P158" t="s">
        <v>46</v>
      </c>
      <c r="S158" t="s">
        <v>145</v>
      </c>
      <c r="V158" s="2">
        <v>45167</v>
      </c>
      <c r="X158" t="s">
        <v>697</v>
      </c>
      <c r="Y158" t="s">
        <v>698</v>
      </c>
      <c r="AB158" t="s">
        <v>699</v>
      </c>
      <c r="AC158" t="s">
        <v>259</v>
      </c>
      <c r="AE158" t="s">
        <v>700</v>
      </c>
      <c r="AH158" t="s">
        <v>673</v>
      </c>
      <c r="AI158" t="s">
        <v>674</v>
      </c>
      <c r="AJ158" t="s">
        <v>701</v>
      </c>
      <c r="AL158" t="s">
        <v>53</v>
      </c>
      <c r="AM158" t="s">
        <v>54</v>
      </c>
    </row>
    <row r="159" spans="1:39" x14ac:dyDescent="0.35">
      <c r="A159" t="s">
        <v>693</v>
      </c>
      <c r="B159" t="s">
        <v>39</v>
      </c>
      <c r="C159" t="s">
        <v>40</v>
      </c>
      <c r="D159" t="s">
        <v>693</v>
      </c>
      <c r="F159" t="s">
        <v>702</v>
      </c>
      <c r="G159" t="s">
        <v>41</v>
      </c>
      <c r="H159" t="s">
        <v>42</v>
      </c>
      <c r="I159" t="s">
        <v>43</v>
      </c>
      <c r="J159" t="s">
        <v>695</v>
      </c>
      <c r="K159" s="2">
        <v>45162</v>
      </c>
      <c r="L159" s="2">
        <v>45167</v>
      </c>
      <c r="M159" s="2">
        <v>45167.63921296296</v>
      </c>
      <c r="N159" t="s">
        <v>696</v>
      </c>
      <c r="P159" t="s">
        <v>46</v>
      </c>
      <c r="S159" t="s">
        <v>145</v>
      </c>
      <c r="V159" s="2">
        <v>45167</v>
      </c>
      <c r="X159" t="s">
        <v>697</v>
      </c>
      <c r="Y159" t="s">
        <v>698</v>
      </c>
      <c r="AB159" t="s">
        <v>699</v>
      </c>
      <c r="AC159" t="s">
        <v>259</v>
      </c>
      <c r="AE159" t="s">
        <v>700</v>
      </c>
      <c r="AH159" t="s">
        <v>673</v>
      </c>
      <c r="AI159" t="s">
        <v>674</v>
      </c>
      <c r="AJ159" t="s">
        <v>701</v>
      </c>
      <c r="AL159" t="s">
        <v>53</v>
      </c>
      <c r="AM159" t="s">
        <v>54</v>
      </c>
    </row>
    <row r="160" spans="1:39" x14ac:dyDescent="0.35">
      <c r="A160" t="s">
        <v>703</v>
      </c>
      <c r="B160" t="s">
        <v>39</v>
      </c>
      <c r="C160" t="s">
        <v>40</v>
      </c>
      <c r="D160" t="s">
        <v>703</v>
      </c>
      <c r="F160" t="s">
        <v>704</v>
      </c>
      <c r="G160" t="s">
        <v>41</v>
      </c>
      <c r="H160" t="s">
        <v>224</v>
      </c>
      <c r="I160" t="s">
        <v>43</v>
      </c>
      <c r="J160" t="s">
        <v>705</v>
      </c>
      <c r="K160" s="2">
        <v>45169</v>
      </c>
      <c r="L160" s="2">
        <v>45180</v>
      </c>
      <c r="M160" s="2">
        <v>45180.817106481481</v>
      </c>
      <c r="N160" t="s">
        <v>706</v>
      </c>
      <c r="P160" t="s">
        <v>143</v>
      </c>
      <c r="Q160" s="3">
        <v>45231</v>
      </c>
      <c r="R160" t="s">
        <v>707</v>
      </c>
      <c r="S160" t="s">
        <v>145</v>
      </c>
      <c r="T160" t="s">
        <v>708</v>
      </c>
      <c r="U160" s="2">
        <v>45218</v>
      </c>
      <c r="V160" s="2">
        <v>45295</v>
      </c>
      <c r="X160" t="s">
        <v>48</v>
      </c>
      <c r="Y160" t="s">
        <v>65</v>
      </c>
      <c r="AA160" s="2">
        <v>45218.711736111109</v>
      </c>
      <c r="AB160" t="s">
        <v>709</v>
      </c>
      <c r="AC160" t="s">
        <v>710</v>
      </c>
      <c r="AD160" t="b">
        <v>0</v>
      </c>
      <c r="AE160" t="s">
        <v>711</v>
      </c>
      <c r="AH160" t="s">
        <v>712</v>
      </c>
      <c r="AI160" t="s">
        <v>713</v>
      </c>
      <c r="AJ160" t="s">
        <v>714</v>
      </c>
      <c r="AK160" t="s">
        <v>715</v>
      </c>
      <c r="AL160" t="s">
        <v>53</v>
      </c>
      <c r="AM160" t="s">
        <v>54</v>
      </c>
    </row>
    <row r="161" spans="1:39" x14ac:dyDescent="0.35">
      <c r="A161" t="s">
        <v>716</v>
      </c>
      <c r="B161" t="s">
        <v>39</v>
      </c>
      <c r="C161" t="s">
        <v>41</v>
      </c>
      <c r="D161" t="s">
        <v>716</v>
      </c>
      <c r="E161">
        <v>1060</v>
      </c>
      <c r="F161" t="s">
        <v>717</v>
      </c>
      <c r="G161" t="s">
        <v>41</v>
      </c>
      <c r="H161" t="s">
        <v>42</v>
      </c>
      <c r="I161" t="s">
        <v>43</v>
      </c>
      <c r="J161" t="s">
        <v>718</v>
      </c>
      <c r="K161" s="2">
        <v>45182</v>
      </c>
      <c r="L161" s="2">
        <v>45183</v>
      </c>
      <c r="M161" s="2">
        <v>45183.737222222226</v>
      </c>
      <c r="N161" t="s">
        <v>719</v>
      </c>
      <c r="P161" t="s">
        <v>46</v>
      </c>
      <c r="S161" t="s">
        <v>145</v>
      </c>
      <c r="V161" s="2">
        <v>45183</v>
      </c>
      <c r="X161" t="s">
        <v>216</v>
      </c>
      <c r="Y161" t="s">
        <v>295</v>
      </c>
      <c r="AB161" t="s">
        <v>218</v>
      </c>
      <c r="AC161" t="s">
        <v>189</v>
      </c>
      <c r="AE161" t="s">
        <v>720</v>
      </c>
      <c r="AH161" t="s">
        <v>721</v>
      </c>
      <c r="AI161" t="s">
        <v>674</v>
      </c>
      <c r="AJ161" t="s">
        <v>675</v>
      </c>
      <c r="AL161" t="s">
        <v>53</v>
      </c>
      <c r="AM161" t="s">
        <v>54</v>
      </c>
    </row>
    <row r="162" spans="1:39" x14ac:dyDescent="0.35">
      <c r="A162" t="s">
        <v>722</v>
      </c>
      <c r="B162" t="s">
        <v>39</v>
      </c>
      <c r="C162" t="s">
        <v>41</v>
      </c>
      <c r="D162" t="s">
        <v>722</v>
      </c>
      <c r="E162">
        <v>1264</v>
      </c>
      <c r="F162" t="s">
        <v>723</v>
      </c>
      <c r="G162" t="s">
        <v>41</v>
      </c>
      <c r="H162" t="s">
        <v>42</v>
      </c>
      <c r="I162" t="s">
        <v>43</v>
      </c>
      <c r="J162" t="s">
        <v>724</v>
      </c>
      <c r="K162" s="2">
        <v>45204</v>
      </c>
      <c r="L162" s="2">
        <v>45209</v>
      </c>
      <c r="M162" s="2">
        <v>45209.7971875</v>
      </c>
      <c r="N162" t="s">
        <v>725</v>
      </c>
      <c r="P162" t="s">
        <v>46</v>
      </c>
      <c r="S162" t="s">
        <v>145</v>
      </c>
      <c r="V162" s="2">
        <v>45209</v>
      </c>
      <c r="X162" t="s">
        <v>82</v>
      </c>
      <c r="Y162" t="s">
        <v>726</v>
      </c>
      <c r="AB162" t="s">
        <v>671</v>
      </c>
      <c r="AC162" t="s">
        <v>189</v>
      </c>
      <c r="AE162" t="s">
        <v>727</v>
      </c>
      <c r="AH162" t="s">
        <v>721</v>
      </c>
      <c r="AI162" t="s">
        <v>674</v>
      </c>
      <c r="AJ162" t="s">
        <v>728</v>
      </c>
      <c r="AL162" t="s">
        <v>53</v>
      </c>
      <c r="AM162" t="s">
        <v>54</v>
      </c>
    </row>
    <row r="163" spans="1:39" x14ac:dyDescent="0.35">
      <c r="A163" t="s">
        <v>729</v>
      </c>
      <c r="B163" t="s">
        <v>39</v>
      </c>
      <c r="C163" t="s">
        <v>41</v>
      </c>
      <c r="D163" t="s">
        <v>729</v>
      </c>
      <c r="E163">
        <v>1411</v>
      </c>
      <c r="F163" t="s">
        <v>730</v>
      </c>
      <c r="G163" t="s">
        <v>41</v>
      </c>
      <c r="H163" t="s">
        <v>42</v>
      </c>
      <c r="I163" t="s">
        <v>43</v>
      </c>
      <c r="J163" t="s">
        <v>731</v>
      </c>
      <c r="K163" s="2">
        <v>45209</v>
      </c>
      <c r="L163" s="2">
        <v>45212</v>
      </c>
      <c r="M163" s="2">
        <v>45212.697314814817</v>
      </c>
      <c r="N163" t="s">
        <v>732</v>
      </c>
      <c r="P163" t="s">
        <v>46</v>
      </c>
      <c r="S163" t="s">
        <v>145</v>
      </c>
      <c r="V163" s="2">
        <v>45212</v>
      </c>
      <c r="X163" t="s">
        <v>82</v>
      </c>
      <c r="Y163" t="s">
        <v>83</v>
      </c>
      <c r="AB163" t="s">
        <v>671</v>
      </c>
      <c r="AC163" t="s">
        <v>259</v>
      </c>
      <c r="AE163" t="s">
        <v>733</v>
      </c>
      <c r="AH163" t="s">
        <v>673</v>
      </c>
      <c r="AI163" t="s">
        <v>674</v>
      </c>
      <c r="AJ163" t="s">
        <v>734</v>
      </c>
      <c r="AL163" t="s">
        <v>53</v>
      </c>
      <c r="AM163" t="s">
        <v>54</v>
      </c>
    </row>
    <row r="164" spans="1:39" x14ac:dyDescent="0.35">
      <c r="A164" t="s">
        <v>735</v>
      </c>
      <c r="B164" t="s">
        <v>39</v>
      </c>
      <c r="C164" t="s">
        <v>41</v>
      </c>
      <c r="D164" t="s">
        <v>735</v>
      </c>
      <c r="E164" t="s">
        <v>736</v>
      </c>
      <c r="F164" t="s">
        <v>737</v>
      </c>
      <c r="G164" t="s">
        <v>41</v>
      </c>
      <c r="H164" t="s">
        <v>42</v>
      </c>
      <c r="I164" t="s">
        <v>43</v>
      </c>
      <c r="J164" t="s">
        <v>738</v>
      </c>
      <c r="K164" s="2">
        <v>45212</v>
      </c>
      <c r="L164" s="2">
        <v>45212</v>
      </c>
      <c r="M164" s="2">
        <v>45212.736435185187</v>
      </c>
      <c r="N164" t="s">
        <v>739</v>
      </c>
      <c r="P164" t="s">
        <v>46</v>
      </c>
      <c r="S164" t="s">
        <v>145</v>
      </c>
      <c r="V164" s="2">
        <v>45212</v>
      </c>
      <c r="X164" t="s">
        <v>407</v>
      </c>
      <c r="Y164" t="s">
        <v>463</v>
      </c>
      <c r="AB164" t="s">
        <v>247</v>
      </c>
      <c r="AC164" t="s">
        <v>740</v>
      </c>
      <c r="AE164" t="s">
        <v>741</v>
      </c>
      <c r="AH164" t="s">
        <v>673</v>
      </c>
      <c r="AI164" t="s">
        <v>742</v>
      </c>
      <c r="AJ164" t="s">
        <v>743</v>
      </c>
      <c r="AL164" t="s">
        <v>53</v>
      </c>
      <c r="AM164" t="s">
        <v>54</v>
      </c>
    </row>
    <row r="165" spans="1:39" x14ac:dyDescent="0.35">
      <c r="A165" t="s">
        <v>735</v>
      </c>
      <c r="B165" t="s">
        <v>39</v>
      </c>
      <c r="C165" t="s">
        <v>40</v>
      </c>
      <c r="D165" t="s">
        <v>735</v>
      </c>
      <c r="F165" t="s">
        <v>704</v>
      </c>
      <c r="G165" t="s">
        <v>41</v>
      </c>
      <c r="H165" t="s">
        <v>42</v>
      </c>
      <c r="I165" t="s">
        <v>43</v>
      </c>
      <c r="J165" t="s">
        <v>738</v>
      </c>
      <c r="K165" s="2">
        <v>45212</v>
      </c>
      <c r="L165" s="2">
        <v>45212</v>
      </c>
      <c r="M165" s="2">
        <v>45212.736435185187</v>
      </c>
      <c r="N165" t="s">
        <v>739</v>
      </c>
      <c r="P165" t="s">
        <v>46</v>
      </c>
      <c r="S165" t="s">
        <v>145</v>
      </c>
      <c r="V165" s="2">
        <v>45212</v>
      </c>
      <c r="X165" t="s">
        <v>407</v>
      </c>
      <c r="Y165" t="s">
        <v>463</v>
      </c>
      <c r="AB165" t="s">
        <v>247</v>
      </c>
      <c r="AC165" t="s">
        <v>740</v>
      </c>
      <c r="AE165" t="s">
        <v>741</v>
      </c>
      <c r="AH165" t="s">
        <v>673</v>
      </c>
      <c r="AI165" t="s">
        <v>742</v>
      </c>
      <c r="AJ165" t="s">
        <v>743</v>
      </c>
      <c r="AL165" t="s">
        <v>53</v>
      </c>
      <c r="AM165" t="s">
        <v>54</v>
      </c>
    </row>
    <row r="166" spans="1:39" x14ac:dyDescent="0.35">
      <c r="A166" t="s">
        <v>744</v>
      </c>
      <c r="B166" t="s">
        <v>39</v>
      </c>
      <c r="C166" t="s">
        <v>41</v>
      </c>
      <c r="D166" t="s">
        <v>744</v>
      </c>
      <c r="E166">
        <v>1399</v>
      </c>
      <c r="F166" t="s">
        <v>745</v>
      </c>
      <c r="G166" t="s">
        <v>41</v>
      </c>
      <c r="H166" t="s">
        <v>42</v>
      </c>
      <c r="I166" t="s">
        <v>43</v>
      </c>
      <c r="J166" t="s">
        <v>746</v>
      </c>
      <c r="K166" s="2">
        <v>45215</v>
      </c>
      <c r="L166" s="2">
        <v>45218</v>
      </c>
      <c r="M166" s="2">
        <v>45218.70144675926</v>
      </c>
      <c r="N166" t="s">
        <v>747</v>
      </c>
      <c r="P166" t="s">
        <v>46</v>
      </c>
      <c r="S166" t="s">
        <v>145</v>
      </c>
      <c r="V166" s="2">
        <v>45218</v>
      </c>
      <c r="X166" t="s">
        <v>216</v>
      </c>
      <c r="Y166" t="s">
        <v>295</v>
      </c>
      <c r="AB166" t="s">
        <v>218</v>
      </c>
      <c r="AC166" t="s">
        <v>259</v>
      </c>
      <c r="AE166" t="s">
        <v>748</v>
      </c>
      <c r="AH166" t="s">
        <v>673</v>
      </c>
      <c r="AI166" t="s">
        <v>674</v>
      </c>
      <c r="AJ166" t="s">
        <v>734</v>
      </c>
      <c r="AL166" t="s">
        <v>53</v>
      </c>
      <c r="AM166" t="s">
        <v>54</v>
      </c>
    </row>
    <row r="167" spans="1:39" x14ac:dyDescent="0.35">
      <c r="A167" t="s">
        <v>749</v>
      </c>
      <c r="B167" t="s">
        <v>39</v>
      </c>
      <c r="C167" t="s">
        <v>40</v>
      </c>
      <c r="D167" t="s">
        <v>749</v>
      </c>
      <c r="F167" t="s">
        <v>684</v>
      </c>
      <c r="G167" t="s">
        <v>41</v>
      </c>
      <c r="H167" t="s">
        <v>224</v>
      </c>
      <c r="I167" t="s">
        <v>750</v>
      </c>
      <c r="J167" t="s">
        <v>751</v>
      </c>
      <c r="K167" s="2">
        <v>45224</v>
      </c>
      <c r="L167" s="2">
        <v>45229</v>
      </c>
      <c r="M167" s="2">
        <v>45229.869259259256</v>
      </c>
      <c r="N167" t="s">
        <v>752</v>
      </c>
      <c r="P167" t="s">
        <v>143</v>
      </c>
      <c r="R167" t="s">
        <v>753</v>
      </c>
      <c r="S167" t="s">
        <v>630</v>
      </c>
      <c r="U167" s="2">
        <v>45278</v>
      </c>
      <c r="X167" t="s">
        <v>94</v>
      </c>
      <c r="Y167" t="s">
        <v>754</v>
      </c>
      <c r="AA167" s="2">
        <v>45280.737858796296</v>
      </c>
      <c r="AB167" t="s">
        <v>474</v>
      </c>
      <c r="AC167" t="s">
        <v>502</v>
      </c>
      <c r="AD167" t="b">
        <v>0</v>
      </c>
      <c r="AE167" t="s">
        <v>755</v>
      </c>
      <c r="AH167" t="s">
        <v>756</v>
      </c>
      <c r="AI167" t="s">
        <v>757</v>
      </c>
      <c r="AJ167" t="s">
        <v>758</v>
      </c>
      <c r="AK167" t="s">
        <v>759</v>
      </c>
      <c r="AL167" t="s">
        <v>53</v>
      </c>
      <c r="AM167" t="s">
        <v>54</v>
      </c>
    </row>
    <row r="168" spans="1:39" x14ac:dyDescent="0.35">
      <c r="A168" t="s">
        <v>760</v>
      </c>
      <c r="B168" t="s">
        <v>39</v>
      </c>
      <c r="C168" t="s">
        <v>41</v>
      </c>
      <c r="D168" t="s">
        <v>760</v>
      </c>
      <c r="E168" t="s">
        <v>761</v>
      </c>
      <c r="F168" t="s">
        <v>762</v>
      </c>
      <c r="G168" t="s">
        <v>41</v>
      </c>
      <c r="H168" t="s">
        <v>224</v>
      </c>
      <c r="I168" t="s">
        <v>43</v>
      </c>
      <c r="J168" t="s">
        <v>763</v>
      </c>
      <c r="K168" s="2">
        <v>45226</v>
      </c>
      <c r="L168" s="2">
        <v>45232</v>
      </c>
      <c r="M168" s="2">
        <v>45232.741932870369</v>
      </c>
      <c r="N168" t="s">
        <v>764</v>
      </c>
      <c r="P168" t="s">
        <v>143</v>
      </c>
      <c r="R168" t="s">
        <v>765</v>
      </c>
      <c r="S168" t="s">
        <v>145</v>
      </c>
      <c r="T168" t="s">
        <v>766</v>
      </c>
      <c r="U168" s="2">
        <v>45293</v>
      </c>
      <c r="V168" s="2">
        <v>45293</v>
      </c>
      <c r="X168" t="s">
        <v>236</v>
      </c>
      <c r="Y168" t="s">
        <v>237</v>
      </c>
      <c r="AA168" s="2">
        <v>45293.86787037037</v>
      </c>
      <c r="AB168" t="s">
        <v>767</v>
      </c>
      <c r="AC168" t="s">
        <v>768</v>
      </c>
      <c r="AD168" t="b">
        <v>0</v>
      </c>
      <c r="AE168" t="s">
        <v>769</v>
      </c>
      <c r="AH168" t="s">
        <v>770</v>
      </c>
      <c r="AI168" t="s">
        <v>228</v>
      </c>
      <c r="AJ168" t="s">
        <v>771</v>
      </c>
      <c r="AK168" t="s">
        <v>771</v>
      </c>
      <c r="AL168" t="s">
        <v>53</v>
      </c>
      <c r="AM168" t="s">
        <v>54</v>
      </c>
    </row>
    <row r="169" spans="1:39" x14ac:dyDescent="0.35">
      <c r="A169" t="s">
        <v>760</v>
      </c>
      <c r="B169" t="s">
        <v>39</v>
      </c>
      <c r="C169" t="s">
        <v>40</v>
      </c>
      <c r="D169" t="s">
        <v>760</v>
      </c>
      <c r="E169" t="s">
        <v>772</v>
      </c>
      <c r="F169" t="s">
        <v>773</v>
      </c>
      <c r="G169" t="s">
        <v>41</v>
      </c>
      <c r="H169" t="s">
        <v>224</v>
      </c>
      <c r="I169" t="s">
        <v>43</v>
      </c>
      <c r="J169" t="s">
        <v>763</v>
      </c>
      <c r="K169" s="2">
        <v>45226</v>
      </c>
      <c r="L169" s="2">
        <v>45232</v>
      </c>
      <c r="M169" s="2">
        <v>45232.741932870369</v>
      </c>
      <c r="N169" t="s">
        <v>764</v>
      </c>
      <c r="P169" t="s">
        <v>143</v>
      </c>
      <c r="R169" t="s">
        <v>765</v>
      </c>
      <c r="S169" t="s">
        <v>145</v>
      </c>
      <c r="T169" t="s">
        <v>766</v>
      </c>
      <c r="U169" s="2">
        <v>45293</v>
      </c>
      <c r="V169" s="2">
        <v>45293</v>
      </c>
      <c r="X169" t="s">
        <v>236</v>
      </c>
      <c r="Y169" t="s">
        <v>237</v>
      </c>
      <c r="AA169" s="2">
        <v>45293.86787037037</v>
      </c>
      <c r="AB169" t="s">
        <v>767</v>
      </c>
      <c r="AC169" t="s">
        <v>768</v>
      </c>
      <c r="AD169" t="b">
        <v>0</v>
      </c>
      <c r="AE169" t="s">
        <v>769</v>
      </c>
      <c r="AH169" t="s">
        <v>770</v>
      </c>
      <c r="AI169" t="s">
        <v>228</v>
      </c>
      <c r="AJ169" t="s">
        <v>771</v>
      </c>
      <c r="AK169" t="s">
        <v>771</v>
      </c>
      <c r="AL169" t="s">
        <v>53</v>
      </c>
      <c r="AM169" t="s">
        <v>54</v>
      </c>
    </row>
    <row r="170" spans="1:39" x14ac:dyDescent="0.35">
      <c r="A170" t="s">
        <v>774</v>
      </c>
      <c r="B170" t="s">
        <v>39</v>
      </c>
      <c r="C170" t="s">
        <v>41</v>
      </c>
      <c r="D170" t="s">
        <v>774</v>
      </c>
      <c r="E170">
        <v>1316</v>
      </c>
      <c r="F170" t="s">
        <v>775</v>
      </c>
      <c r="G170" t="s">
        <v>41</v>
      </c>
      <c r="H170" t="s">
        <v>42</v>
      </c>
      <c r="I170" t="s">
        <v>43</v>
      </c>
      <c r="J170" t="s">
        <v>776</v>
      </c>
      <c r="K170" s="2">
        <v>45236</v>
      </c>
      <c r="L170" s="2">
        <v>45237</v>
      </c>
      <c r="M170" s="2">
        <v>45237.667453703703</v>
      </c>
      <c r="N170" t="s">
        <v>777</v>
      </c>
      <c r="P170" t="s">
        <v>46</v>
      </c>
      <c r="S170" t="s">
        <v>145</v>
      </c>
      <c r="V170" s="2">
        <v>45237</v>
      </c>
      <c r="X170" t="s">
        <v>216</v>
      </c>
      <c r="Y170" t="s">
        <v>295</v>
      </c>
      <c r="AB170" t="s">
        <v>218</v>
      </c>
      <c r="AC170" t="s">
        <v>581</v>
      </c>
      <c r="AE170" t="s">
        <v>778</v>
      </c>
      <c r="AH170" t="s">
        <v>673</v>
      </c>
      <c r="AI170" t="s">
        <v>674</v>
      </c>
      <c r="AJ170" t="s">
        <v>728</v>
      </c>
      <c r="AL170" t="s">
        <v>53</v>
      </c>
      <c r="AM170" t="s">
        <v>54</v>
      </c>
    </row>
    <row r="171" spans="1:39" x14ac:dyDescent="0.35">
      <c r="A171" t="s">
        <v>779</v>
      </c>
      <c r="B171" t="s">
        <v>39</v>
      </c>
      <c r="C171" t="s">
        <v>41</v>
      </c>
      <c r="D171" t="s">
        <v>779</v>
      </c>
      <c r="E171">
        <v>1316</v>
      </c>
      <c r="F171" t="s">
        <v>775</v>
      </c>
      <c r="G171" t="s">
        <v>41</v>
      </c>
      <c r="H171" t="s">
        <v>42</v>
      </c>
      <c r="I171" t="s">
        <v>43</v>
      </c>
      <c r="J171" t="s">
        <v>780</v>
      </c>
      <c r="K171" s="2">
        <v>45236</v>
      </c>
      <c r="L171" s="2">
        <v>45237</v>
      </c>
      <c r="M171" s="2">
        <v>45237.633773148147</v>
      </c>
      <c r="N171" t="s">
        <v>781</v>
      </c>
      <c r="P171" t="s">
        <v>46</v>
      </c>
      <c r="S171" t="s">
        <v>145</v>
      </c>
      <c r="V171" s="2">
        <v>45237</v>
      </c>
      <c r="X171" t="s">
        <v>608</v>
      </c>
      <c r="Y171" t="s">
        <v>609</v>
      </c>
      <c r="AB171" t="s">
        <v>610</v>
      </c>
      <c r="AC171" t="s">
        <v>581</v>
      </c>
      <c r="AE171" t="s">
        <v>782</v>
      </c>
      <c r="AH171" t="s">
        <v>673</v>
      </c>
      <c r="AI171" t="s">
        <v>742</v>
      </c>
      <c r="AJ171" t="s">
        <v>783</v>
      </c>
      <c r="AL171" t="s">
        <v>53</v>
      </c>
      <c r="AM171" t="s">
        <v>54</v>
      </c>
    </row>
    <row r="172" spans="1:39" x14ac:dyDescent="0.35">
      <c r="A172" t="s">
        <v>784</v>
      </c>
      <c r="B172" t="s">
        <v>39</v>
      </c>
      <c r="C172" t="s">
        <v>55</v>
      </c>
      <c r="D172" t="s">
        <v>784</v>
      </c>
      <c r="E172">
        <v>1007</v>
      </c>
      <c r="F172" t="s">
        <v>785</v>
      </c>
      <c r="G172" t="s">
        <v>41</v>
      </c>
      <c r="H172" t="s">
        <v>42</v>
      </c>
      <c r="I172" t="s">
        <v>43</v>
      </c>
      <c r="J172" t="s">
        <v>786</v>
      </c>
      <c r="K172" s="2">
        <v>45240</v>
      </c>
      <c r="L172" s="2">
        <v>45240</v>
      </c>
      <c r="M172" s="2">
        <v>45243.663530092592</v>
      </c>
      <c r="N172" t="s">
        <v>787</v>
      </c>
      <c r="P172" t="s">
        <v>46</v>
      </c>
      <c r="S172" t="s">
        <v>145</v>
      </c>
      <c r="V172" s="2">
        <v>45243</v>
      </c>
      <c r="X172" t="s">
        <v>608</v>
      </c>
      <c r="Y172" t="s">
        <v>788</v>
      </c>
      <c r="AB172" t="s">
        <v>59</v>
      </c>
      <c r="AC172" t="s">
        <v>418</v>
      </c>
      <c r="AE172" t="s">
        <v>789</v>
      </c>
      <c r="AH172" t="s">
        <v>721</v>
      </c>
      <c r="AI172" t="s">
        <v>674</v>
      </c>
      <c r="AJ172" t="s">
        <v>734</v>
      </c>
      <c r="AL172" t="s">
        <v>53</v>
      </c>
      <c r="AM172" t="s">
        <v>54</v>
      </c>
    </row>
    <row r="173" spans="1:39" x14ac:dyDescent="0.35">
      <c r="A173" t="s">
        <v>790</v>
      </c>
      <c r="B173" t="s">
        <v>39</v>
      </c>
      <c r="C173" t="s">
        <v>41</v>
      </c>
      <c r="D173" t="s">
        <v>790</v>
      </c>
      <c r="E173">
        <v>1138</v>
      </c>
      <c r="F173" t="s">
        <v>791</v>
      </c>
      <c r="G173" t="s">
        <v>41</v>
      </c>
      <c r="H173" t="s">
        <v>42</v>
      </c>
      <c r="I173" t="s">
        <v>43</v>
      </c>
      <c r="J173" t="s">
        <v>792</v>
      </c>
      <c r="K173" s="2">
        <v>45243</v>
      </c>
      <c r="L173" s="2">
        <v>45245</v>
      </c>
      <c r="M173" s="2">
        <v>45245.726226851853</v>
      </c>
      <c r="N173" t="s">
        <v>793</v>
      </c>
      <c r="P173" t="s">
        <v>46</v>
      </c>
      <c r="S173" t="s">
        <v>145</v>
      </c>
      <c r="V173" s="2">
        <v>45245</v>
      </c>
      <c r="X173" t="s">
        <v>76</v>
      </c>
      <c r="Y173" t="s">
        <v>77</v>
      </c>
      <c r="AB173" t="s">
        <v>264</v>
      </c>
      <c r="AC173" t="s">
        <v>85</v>
      </c>
      <c r="AE173" t="s">
        <v>794</v>
      </c>
      <c r="AH173" t="s">
        <v>673</v>
      </c>
      <c r="AI173" t="s">
        <v>674</v>
      </c>
      <c r="AJ173" t="s">
        <v>734</v>
      </c>
      <c r="AL173" t="s">
        <v>53</v>
      </c>
      <c r="AM173" t="s">
        <v>54</v>
      </c>
    </row>
    <row r="174" spans="1:39" x14ac:dyDescent="0.35">
      <c r="A174" t="s">
        <v>795</v>
      </c>
      <c r="B174" t="s">
        <v>39</v>
      </c>
      <c r="C174" t="s">
        <v>41</v>
      </c>
      <c r="D174" t="s">
        <v>795</v>
      </c>
      <c r="E174">
        <v>1404</v>
      </c>
      <c r="F174" t="s">
        <v>796</v>
      </c>
      <c r="G174" t="s">
        <v>41</v>
      </c>
      <c r="H174" t="s">
        <v>42</v>
      </c>
      <c r="I174" t="s">
        <v>43</v>
      </c>
      <c r="J174" t="s">
        <v>797</v>
      </c>
      <c r="K174" s="2">
        <v>45240</v>
      </c>
      <c r="L174" s="2">
        <v>45245</v>
      </c>
      <c r="M174" s="2">
        <v>45245.766284722224</v>
      </c>
      <c r="N174" t="s">
        <v>798</v>
      </c>
      <c r="P174" t="s">
        <v>46</v>
      </c>
      <c r="S174" t="s">
        <v>145</v>
      </c>
      <c r="V174" s="2">
        <v>45245</v>
      </c>
      <c r="X174" t="s">
        <v>48</v>
      </c>
      <c r="Y174" t="s">
        <v>65</v>
      </c>
      <c r="AB174" t="s">
        <v>59</v>
      </c>
      <c r="AC174" t="s">
        <v>259</v>
      </c>
      <c r="AE174" t="s">
        <v>799</v>
      </c>
      <c r="AH174" t="s">
        <v>721</v>
      </c>
      <c r="AI174" t="s">
        <v>800</v>
      </c>
      <c r="AJ174" t="s">
        <v>801</v>
      </c>
      <c r="AL174" t="s">
        <v>53</v>
      </c>
      <c r="AM174" t="s">
        <v>54</v>
      </c>
    </row>
    <row r="175" spans="1:39" x14ac:dyDescent="0.35">
      <c r="A175" t="s">
        <v>795</v>
      </c>
      <c r="B175" t="s">
        <v>39</v>
      </c>
      <c r="C175" t="s">
        <v>40</v>
      </c>
      <c r="D175" t="s">
        <v>795</v>
      </c>
      <c r="F175" t="s">
        <v>702</v>
      </c>
      <c r="G175" t="s">
        <v>41</v>
      </c>
      <c r="H175" t="s">
        <v>42</v>
      </c>
      <c r="I175" t="s">
        <v>43</v>
      </c>
      <c r="J175" t="s">
        <v>797</v>
      </c>
      <c r="K175" s="2">
        <v>45240</v>
      </c>
      <c r="L175" s="2">
        <v>45245</v>
      </c>
      <c r="M175" s="2">
        <v>45245.766284722224</v>
      </c>
      <c r="N175" t="s">
        <v>798</v>
      </c>
      <c r="P175" t="s">
        <v>46</v>
      </c>
      <c r="S175" t="s">
        <v>145</v>
      </c>
      <c r="V175" s="2">
        <v>45245</v>
      </c>
      <c r="X175" t="s">
        <v>48</v>
      </c>
      <c r="Y175" t="s">
        <v>65</v>
      </c>
      <c r="AB175" t="s">
        <v>59</v>
      </c>
      <c r="AC175" t="s">
        <v>259</v>
      </c>
      <c r="AE175" t="s">
        <v>799</v>
      </c>
      <c r="AH175" t="s">
        <v>721</v>
      </c>
      <c r="AI175" t="s">
        <v>800</v>
      </c>
      <c r="AJ175" t="s">
        <v>801</v>
      </c>
      <c r="AL175" t="s">
        <v>53</v>
      </c>
      <c r="AM175" t="s">
        <v>54</v>
      </c>
    </row>
    <row r="176" spans="1:39" x14ac:dyDescent="0.35">
      <c r="A176" t="s">
        <v>802</v>
      </c>
      <c r="B176" t="s">
        <v>39</v>
      </c>
      <c r="C176" t="s">
        <v>40</v>
      </c>
      <c r="D176" t="s">
        <v>802</v>
      </c>
      <c r="F176" t="s">
        <v>803</v>
      </c>
      <c r="G176" t="s">
        <v>41</v>
      </c>
      <c r="H176" t="s">
        <v>42</v>
      </c>
      <c r="I176" t="s">
        <v>43</v>
      </c>
      <c r="J176" t="s">
        <v>804</v>
      </c>
      <c r="K176" s="2">
        <v>45239</v>
      </c>
      <c r="L176" s="2">
        <v>45245</v>
      </c>
      <c r="M176" s="2">
        <v>45246.745393518519</v>
      </c>
      <c r="N176" t="s">
        <v>805</v>
      </c>
      <c r="P176" t="s">
        <v>46</v>
      </c>
      <c r="S176" t="s">
        <v>145</v>
      </c>
      <c r="V176" s="2">
        <v>45246</v>
      </c>
      <c r="X176" t="s">
        <v>806</v>
      </c>
      <c r="Y176" t="s">
        <v>807</v>
      </c>
      <c r="AB176" t="s">
        <v>808</v>
      </c>
      <c r="AC176" t="s">
        <v>176</v>
      </c>
      <c r="AE176" t="s">
        <v>809</v>
      </c>
      <c r="AH176" t="s">
        <v>673</v>
      </c>
      <c r="AI176" t="s">
        <v>674</v>
      </c>
      <c r="AJ176" t="s">
        <v>734</v>
      </c>
      <c r="AL176" t="s">
        <v>53</v>
      </c>
      <c r="AM176" t="s">
        <v>54</v>
      </c>
    </row>
    <row r="177" spans="1:39" x14ac:dyDescent="0.35">
      <c r="A177" t="s">
        <v>810</v>
      </c>
      <c r="B177" t="s">
        <v>39</v>
      </c>
      <c r="C177" t="s">
        <v>41</v>
      </c>
      <c r="D177" t="s">
        <v>810</v>
      </c>
      <c r="E177">
        <v>1121</v>
      </c>
      <c r="F177" t="s">
        <v>811</v>
      </c>
      <c r="G177" t="s">
        <v>41</v>
      </c>
      <c r="H177" t="s">
        <v>42</v>
      </c>
      <c r="I177" t="s">
        <v>43</v>
      </c>
      <c r="J177" t="s">
        <v>812</v>
      </c>
      <c r="K177" s="2">
        <v>45254</v>
      </c>
      <c r="L177" s="2">
        <v>45259</v>
      </c>
      <c r="M177" s="2">
        <v>45266.561122685183</v>
      </c>
      <c r="N177" t="s">
        <v>813</v>
      </c>
      <c r="P177" t="s">
        <v>46</v>
      </c>
      <c r="S177" t="s">
        <v>145</v>
      </c>
      <c r="V177" s="2">
        <v>45259</v>
      </c>
      <c r="X177" t="s">
        <v>216</v>
      </c>
      <c r="Y177" t="s">
        <v>295</v>
      </c>
      <c r="AB177" t="s">
        <v>218</v>
      </c>
      <c r="AC177" t="s">
        <v>814</v>
      </c>
      <c r="AE177" t="s">
        <v>815</v>
      </c>
      <c r="AH177" t="s">
        <v>673</v>
      </c>
      <c r="AI177" t="s">
        <v>674</v>
      </c>
      <c r="AJ177" t="s">
        <v>728</v>
      </c>
      <c r="AL177" t="s">
        <v>53</v>
      </c>
      <c r="AM177" t="s">
        <v>54</v>
      </c>
    </row>
    <row r="178" spans="1:39" x14ac:dyDescent="0.35">
      <c r="A178" t="s">
        <v>816</v>
      </c>
      <c r="B178" t="s">
        <v>39</v>
      </c>
      <c r="C178" t="s">
        <v>40</v>
      </c>
      <c r="D178" t="s">
        <v>816</v>
      </c>
      <c r="F178" t="s">
        <v>702</v>
      </c>
      <c r="G178" t="s">
        <v>41</v>
      </c>
      <c r="H178" t="s">
        <v>42</v>
      </c>
      <c r="I178" t="s">
        <v>43</v>
      </c>
      <c r="J178" t="s">
        <v>817</v>
      </c>
      <c r="K178" s="2">
        <v>45281</v>
      </c>
      <c r="L178" s="2">
        <v>45281</v>
      </c>
      <c r="M178" s="2">
        <v>45281.858240740738</v>
      </c>
      <c r="N178" t="s">
        <v>818</v>
      </c>
      <c r="P178" t="s">
        <v>46</v>
      </c>
      <c r="S178" t="s">
        <v>145</v>
      </c>
      <c r="V178" s="2">
        <v>45281</v>
      </c>
      <c r="X178" t="s">
        <v>94</v>
      </c>
      <c r="Y178" t="s">
        <v>162</v>
      </c>
      <c r="AB178" t="s">
        <v>474</v>
      </c>
      <c r="AC178" t="s">
        <v>618</v>
      </c>
      <c r="AE178" t="s">
        <v>819</v>
      </c>
      <c r="AH178" t="s">
        <v>673</v>
      </c>
      <c r="AI178" t="s">
        <v>713</v>
      </c>
      <c r="AJ178" t="s">
        <v>820</v>
      </c>
      <c r="AL178" t="s">
        <v>53</v>
      </c>
      <c r="AM178" t="s">
        <v>54</v>
      </c>
    </row>
    <row r="179" spans="1:39" x14ac:dyDescent="0.35">
      <c r="A179" t="s">
        <v>821</v>
      </c>
      <c r="B179" t="s">
        <v>39</v>
      </c>
      <c r="C179" t="s">
        <v>41</v>
      </c>
      <c r="D179" t="s">
        <v>821</v>
      </c>
      <c r="E179" t="s">
        <v>822</v>
      </c>
      <c r="F179" t="s">
        <v>823</v>
      </c>
      <c r="G179" t="s">
        <v>41</v>
      </c>
      <c r="H179" t="s">
        <v>42</v>
      </c>
      <c r="I179" t="s">
        <v>43</v>
      </c>
      <c r="J179" t="s">
        <v>824</v>
      </c>
      <c r="K179" s="2">
        <v>45309</v>
      </c>
      <c r="L179" s="2">
        <v>45314</v>
      </c>
      <c r="M179" s="2">
        <v>45314.863032407404</v>
      </c>
      <c r="N179" t="s">
        <v>825</v>
      </c>
      <c r="P179" t="s">
        <v>46</v>
      </c>
      <c r="S179" t="s">
        <v>145</v>
      </c>
      <c r="V179" s="2">
        <v>45314</v>
      </c>
      <c r="X179" t="s">
        <v>94</v>
      </c>
      <c r="Y179" t="s">
        <v>162</v>
      </c>
      <c r="AB179" t="s">
        <v>474</v>
      </c>
      <c r="AC179" t="s">
        <v>826</v>
      </c>
      <c r="AE179" t="s">
        <v>827</v>
      </c>
      <c r="AH179" t="s">
        <v>673</v>
      </c>
      <c r="AI179" t="s">
        <v>674</v>
      </c>
      <c r="AJ179" t="s">
        <v>675</v>
      </c>
      <c r="AL179" t="s">
        <v>53</v>
      </c>
      <c r="AM179" t="s">
        <v>54</v>
      </c>
    </row>
    <row r="180" spans="1:39" x14ac:dyDescent="0.35">
      <c r="A180" t="s">
        <v>828</v>
      </c>
      <c r="B180" t="s">
        <v>39</v>
      </c>
      <c r="C180" t="s">
        <v>40</v>
      </c>
      <c r="D180" t="s">
        <v>828</v>
      </c>
      <c r="F180" t="s">
        <v>829</v>
      </c>
      <c r="G180" t="s">
        <v>41</v>
      </c>
      <c r="H180" t="s">
        <v>42</v>
      </c>
      <c r="I180" t="s">
        <v>43</v>
      </c>
      <c r="J180" t="s">
        <v>830</v>
      </c>
      <c r="K180" s="2">
        <v>45313</v>
      </c>
      <c r="L180" s="2">
        <v>45314</v>
      </c>
      <c r="M180" s="2">
        <v>45331.777962962966</v>
      </c>
      <c r="N180" t="s">
        <v>831</v>
      </c>
      <c r="P180" t="s">
        <v>46</v>
      </c>
      <c r="S180" t="s">
        <v>145</v>
      </c>
      <c r="V180" s="2">
        <v>45331</v>
      </c>
      <c r="X180" t="s">
        <v>48</v>
      </c>
      <c r="Y180" t="s">
        <v>65</v>
      </c>
      <c r="AB180" t="s">
        <v>50</v>
      </c>
      <c r="AC180" t="s">
        <v>832</v>
      </c>
      <c r="AE180" t="s">
        <v>833</v>
      </c>
      <c r="AH180" t="s">
        <v>673</v>
      </c>
      <c r="AI180" t="s">
        <v>674</v>
      </c>
      <c r="AJ180" t="s">
        <v>728</v>
      </c>
      <c r="AL180" t="s">
        <v>53</v>
      </c>
      <c r="AM180" t="s">
        <v>54</v>
      </c>
    </row>
    <row r="181" spans="1:39" x14ac:dyDescent="0.35">
      <c r="A181" t="s">
        <v>834</v>
      </c>
      <c r="B181" t="s">
        <v>39</v>
      </c>
      <c r="C181" t="s">
        <v>40</v>
      </c>
      <c r="D181" t="s">
        <v>834</v>
      </c>
      <c r="F181" t="s">
        <v>702</v>
      </c>
      <c r="G181" t="s">
        <v>41</v>
      </c>
      <c r="H181" t="s">
        <v>42</v>
      </c>
      <c r="I181" t="s">
        <v>43</v>
      </c>
      <c r="J181" t="s">
        <v>835</v>
      </c>
      <c r="K181" s="2">
        <v>45322</v>
      </c>
      <c r="L181" s="2">
        <v>45328</v>
      </c>
      <c r="M181" s="2">
        <v>45328.895856481482</v>
      </c>
      <c r="N181" t="s">
        <v>836</v>
      </c>
      <c r="P181" t="s">
        <v>46</v>
      </c>
      <c r="S181" t="s">
        <v>145</v>
      </c>
      <c r="V181" s="2">
        <v>45328</v>
      </c>
      <c r="X181" t="s">
        <v>48</v>
      </c>
      <c r="Y181" t="s">
        <v>65</v>
      </c>
      <c r="AB181" t="s">
        <v>837</v>
      </c>
      <c r="AC181" t="s">
        <v>189</v>
      </c>
      <c r="AE181" t="s">
        <v>838</v>
      </c>
      <c r="AH181" t="s">
        <v>673</v>
      </c>
      <c r="AI181" t="s">
        <v>742</v>
      </c>
      <c r="AJ181" t="s">
        <v>743</v>
      </c>
      <c r="AL181" t="s">
        <v>53</v>
      </c>
      <c r="AM181" t="s">
        <v>54</v>
      </c>
    </row>
    <row r="182" spans="1:39" x14ac:dyDescent="0.35">
      <c r="A182" t="s">
        <v>839</v>
      </c>
      <c r="B182" t="s">
        <v>39</v>
      </c>
      <c r="C182" t="s">
        <v>41</v>
      </c>
      <c r="D182" t="s">
        <v>839</v>
      </c>
      <c r="E182" t="s">
        <v>840</v>
      </c>
      <c r="F182" t="s">
        <v>841</v>
      </c>
      <c r="G182" t="s">
        <v>41</v>
      </c>
      <c r="H182" t="s">
        <v>224</v>
      </c>
      <c r="I182" t="s">
        <v>43</v>
      </c>
      <c r="J182" t="s">
        <v>842</v>
      </c>
      <c r="K182" s="2">
        <v>45328</v>
      </c>
      <c r="L182" s="2">
        <v>45329</v>
      </c>
      <c r="M182" s="2">
        <v>45329.751921296294</v>
      </c>
      <c r="N182" t="s">
        <v>843</v>
      </c>
      <c r="P182" t="s">
        <v>143</v>
      </c>
      <c r="R182" t="s">
        <v>844</v>
      </c>
      <c r="S182" t="s">
        <v>145</v>
      </c>
      <c r="T182" t="s">
        <v>766</v>
      </c>
      <c r="U182" s="2">
        <v>45393</v>
      </c>
      <c r="V182" s="2">
        <v>45394</v>
      </c>
      <c r="X182" t="s">
        <v>236</v>
      </c>
      <c r="Y182" t="s">
        <v>237</v>
      </c>
      <c r="AA182" s="2">
        <v>45395.022673611114</v>
      </c>
      <c r="AB182" t="s">
        <v>767</v>
      </c>
      <c r="AC182" t="s">
        <v>664</v>
      </c>
      <c r="AD182" t="b">
        <v>0</v>
      </c>
      <c r="AE182" t="s">
        <v>845</v>
      </c>
      <c r="AH182" t="s">
        <v>846</v>
      </c>
      <c r="AI182" t="s">
        <v>228</v>
      </c>
      <c r="AJ182" t="s">
        <v>771</v>
      </c>
      <c r="AK182" t="s">
        <v>771</v>
      </c>
      <c r="AL182" t="s">
        <v>53</v>
      </c>
      <c r="AM182" t="s">
        <v>54</v>
      </c>
    </row>
    <row r="183" spans="1:39" x14ac:dyDescent="0.35">
      <c r="A183" t="s">
        <v>839</v>
      </c>
      <c r="B183" t="s">
        <v>39</v>
      </c>
      <c r="C183" t="s">
        <v>40</v>
      </c>
      <c r="D183" t="s">
        <v>839</v>
      </c>
      <c r="F183" t="s">
        <v>847</v>
      </c>
      <c r="G183" t="s">
        <v>41</v>
      </c>
      <c r="H183" t="s">
        <v>224</v>
      </c>
      <c r="I183" t="s">
        <v>43</v>
      </c>
      <c r="J183" t="s">
        <v>842</v>
      </c>
      <c r="K183" s="2">
        <v>45328</v>
      </c>
      <c r="L183" s="2">
        <v>45329</v>
      </c>
      <c r="M183" s="2">
        <v>45329.751921296294</v>
      </c>
      <c r="N183" t="s">
        <v>843</v>
      </c>
      <c r="P183" t="s">
        <v>143</v>
      </c>
      <c r="R183" t="s">
        <v>844</v>
      </c>
      <c r="S183" t="s">
        <v>145</v>
      </c>
      <c r="T183" t="s">
        <v>766</v>
      </c>
      <c r="U183" s="2">
        <v>45393</v>
      </c>
      <c r="V183" s="2">
        <v>45394</v>
      </c>
      <c r="X183" t="s">
        <v>236</v>
      </c>
      <c r="Y183" t="s">
        <v>237</v>
      </c>
      <c r="AA183" s="2">
        <v>45395.022673611114</v>
      </c>
      <c r="AB183" t="s">
        <v>767</v>
      </c>
      <c r="AC183" t="s">
        <v>664</v>
      </c>
      <c r="AD183" t="b">
        <v>0</v>
      </c>
      <c r="AE183" t="s">
        <v>845</v>
      </c>
      <c r="AH183" t="s">
        <v>846</v>
      </c>
      <c r="AI183" t="s">
        <v>228</v>
      </c>
      <c r="AJ183" t="s">
        <v>771</v>
      </c>
      <c r="AK183" t="s">
        <v>771</v>
      </c>
      <c r="AL183" t="s">
        <v>53</v>
      </c>
      <c r="AM183" t="s">
        <v>54</v>
      </c>
    </row>
    <row r="184" spans="1:39" x14ac:dyDescent="0.35">
      <c r="A184" t="s">
        <v>848</v>
      </c>
      <c r="B184" t="s">
        <v>39</v>
      </c>
      <c r="C184" t="s">
        <v>41</v>
      </c>
      <c r="D184" t="s">
        <v>848</v>
      </c>
      <c r="E184">
        <v>1401</v>
      </c>
      <c r="F184" t="s">
        <v>849</v>
      </c>
      <c r="G184" t="s">
        <v>41</v>
      </c>
      <c r="H184" t="s">
        <v>42</v>
      </c>
      <c r="I184" t="s">
        <v>43</v>
      </c>
      <c r="J184" t="s">
        <v>850</v>
      </c>
      <c r="K184" s="2">
        <v>45342</v>
      </c>
      <c r="L184" s="2">
        <v>45348</v>
      </c>
      <c r="M184" s="2">
        <v>45348.710069444445</v>
      </c>
      <c r="N184" t="s">
        <v>851</v>
      </c>
      <c r="P184" t="s">
        <v>46</v>
      </c>
      <c r="S184" t="s">
        <v>145</v>
      </c>
      <c r="V184" s="2">
        <v>45348</v>
      </c>
      <c r="X184" t="s">
        <v>82</v>
      </c>
      <c r="Y184" t="s">
        <v>83</v>
      </c>
      <c r="AB184" t="s">
        <v>84</v>
      </c>
      <c r="AC184" t="s">
        <v>826</v>
      </c>
      <c r="AE184" t="s">
        <v>852</v>
      </c>
      <c r="AH184" t="s">
        <v>673</v>
      </c>
      <c r="AI184" t="s">
        <v>674</v>
      </c>
      <c r="AJ184" t="s">
        <v>682</v>
      </c>
      <c r="AL184" t="s">
        <v>53</v>
      </c>
      <c r="AM184" t="s">
        <v>54</v>
      </c>
    </row>
    <row r="185" spans="1:39" x14ac:dyDescent="0.35">
      <c r="A185" t="s">
        <v>853</v>
      </c>
      <c r="B185" t="s">
        <v>39</v>
      </c>
      <c r="C185" t="s">
        <v>40</v>
      </c>
      <c r="D185" t="s">
        <v>853</v>
      </c>
      <c r="F185" t="s">
        <v>854</v>
      </c>
      <c r="G185" t="s">
        <v>41</v>
      </c>
      <c r="H185" t="s">
        <v>42</v>
      </c>
      <c r="I185" t="s">
        <v>43</v>
      </c>
      <c r="J185" t="s">
        <v>855</v>
      </c>
      <c r="K185" s="2">
        <v>45349</v>
      </c>
      <c r="L185" s="2">
        <v>45352</v>
      </c>
      <c r="M185" s="2">
        <v>45352.728078703702</v>
      </c>
      <c r="N185" t="s">
        <v>856</v>
      </c>
      <c r="P185" t="s">
        <v>46</v>
      </c>
      <c r="S185" t="s">
        <v>145</v>
      </c>
      <c r="V185" s="2">
        <v>45352</v>
      </c>
      <c r="X185" t="s">
        <v>48</v>
      </c>
      <c r="Y185" t="s">
        <v>65</v>
      </c>
      <c r="AB185" t="s">
        <v>50</v>
      </c>
      <c r="AC185" t="s">
        <v>176</v>
      </c>
      <c r="AE185" t="s">
        <v>857</v>
      </c>
      <c r="AH185" t="s">
        <v>673</v>
      </c>
      <c r="AI185" t="s">
        <v>674</v>
      </c>
      <c r="AJ185" t="s">
        <v>675</v>
      </c>
      <c r="AL185" t="s">
        <v>53</v>
      </c>
      <c r="AM185" t="s">
        <v>54</v>
      </c>
    </row>
    <row r="186" spans="1:39" x14ac:dyDescent="0.35">
      <c r="A186" t="s">
        <v>858</v>
      </c>
      <c r="B186" t="s">
        <v>39</v>
      </c>
      <c r="C186" t="s">
        <v>41</v>
      </c>
      <c r="D186" t="s">
        <v>858</v>
      </c>
      <c r="E186">
        <v>1001</v>
      </c>
      <c r="F186" t="s">
        <v>859</v>
      </c>
      <c r="G186" t="s">
        <v>41</v>
      </c>
      <c r="H186" t="s">
        <v>42</v>
      </c>
      <c r="I186" t="s">
        <v>43</v>
      </c>
      <c r="J186" t="s">
        <v>860</v>
      </c>
      <c r="K186" s="2">
        <v>45351</v>
      </c>
      <c r="L186" s="2">
        <v>45352</v>
      </c>
      <c r="M186" s="2">
        <v>45355.684525462966</v>
      </c>
      <c r="N186" t="s">
        <v>861</v>
      </c>
      <c r="P186" t="s">
        <v>46</v>
      </c>
      <c r="S186" t="s">
        <v>145</v>
      </c>
      <c r="V186" s="2">
        <v>45355</v>
      </c>
      <c r="X186" t="s">
        <v>187</v>
      </c>
      <c r="Y186" t="s">
        <v>193</v>
      </c>
      <c r="AB186" t="s">
        <v>709</v>
      </c>
      <c r="AC186" t="s">
        <v>862</v>
      </c>
      <c r="AE186" t="s">
        <v>863</v>
      </c>
      <c r="AH186" t="s">
        <v>673</v>
      </c>
      <c r="AI186" t="s">
        <v>674</v>
      </c>
      <c r="AJ186" t="s">
        <v>728</v>
      </c>
      <c r="AL186" t="s">
        <v>53</v>
      </c>
      <c r="AM186" t="s">
        <v>54</v>
      </c>
    </row>
    <row r="187" spans="1:39" x14ac:dyDescent="0.35">
      <c r="A187" t="s">
        <v>864</v>
      </c>
      <c r="B187" t="s">
        <v>39</v>
      </c>
      <c r="C187" t="s">
        <v>41</v>
      </c>
      <c r="D187" t="s">
        <v>864</v>
      </c>
      <c r="E187">
        <v>1034</v>
      </c>
      <c r="F187" t="s">
        <v>865</v>
      </c>
      <c r="G187" t="s">
        <v>41</v>
      </c>
      <c r="H187" t="s">
        <v>42</v>
      </c>
      <c r="I187" t="s">
        <v>43</v>
      </c>
      <c r="J187" t="s">
        <v>866</v>
      </c>
      <c r="K187" s="2">
        <v>45351</v>
      </c>
      <c r="L187" s="2">
        <v>45352</v>
      </c>
      <c r="M187" s="2">
        <v>45356.668819444443</v>
      </c>
      <c r="N187" t="s">
        <v>867</v>
      </c>
      <c r="P187" t="s">
        <v>46</v>
      </c>
      <c r="S187" t="s">
        <v>145</v>
      </c>
      <c r="T187" t="s">
        <v>868</v>
      </c>
      <c r="V187" s="2">
        <v>45352</v>
      </c>
      <c r="X187" t="s">
        <v>386</v>
      </c>
      <c r="Y187" t="s">
        <v>387</v>
      </c>
      <c r="AB187" t="s">
        <v>709</v>
      </c>
      <c r="AC187" t="s">
        <v>286</v>
      </c>
      <c r="AD187" t="b">
        <v>0</v>
      </c>
      <c r="AE187" t="s">
        <v>869</v>
      </c>
      <c r="AH187" t="s">
        <v>673</v>
      </c>
      <c r="AI187" t="s">
        <v>674</v>
      </c>
      <c r="AJ187" t="s">
        <v>701</v>
      </c>
      <c r="AL187" t="s">
        <v>53</v>
      </c>
      <c r="AM187" t="s">
        <v>54</v>
      </c>
    </row>
    <row r="188" spans="1:39" x14ac:dyDescent="0.35">
      <c r="A188" t="s">
        <v>870</v>
      </c>
      <c r="B188" t="s">
        <v>39</v>
      </c>
      <c r="C188" t="s">
        <v>41</v>
      </c>
      <c r="D188" t="s">
        <v>870</v>
      </c>
      <c r="E188">
        <v>1340</v>
      </c>
      <c r="F188" t="s">
        <v>871</v>
      </c>
      <c r="G188" t="s">
        <v>41</v>
      </c>
      <c r="H188" t="s">
        <v>42</v>
      </c>
      <c r="I188" t="s">
        <v>43</v>
      </c>
      <c r="J188" t="s">
        <v>872</v>
      </c>
      <c r="K188" s="2">
        <v>45131</v>
      </c>
      <c r="L188" s="2">
        <v>45378</v>
      </c>
      <c r="M188" s="2">
        <v>45378.776898148149</v>
      </c>
      <c r="N188" t="s">
        <v>873</v>
      </c>
      <c r="P188" t="s">
        <v>46</v>
      </c>
      <c r="S188" t="s">
        <v>145</v>
      </c>
      <c r="V188" s="2">
        <v>45378</v>
      </c>
      <c r="X188" t="s">
        <v>48</v>
      </c>
      <c r="Y188" t="s">
        <v>49</v>
      </c>
      <c r="AB188" t="s">
        <v>59</v>
      </c>
      <c r="AC188" t="s">
        <v>874</v>
      </c>
      <c r="AE188" t="s">
        <v>875</v>
      </c>
      <c r="AH188" t="s">
        <v>673</v>
      </c>
      <c r="AI188" t="s">
        <v>800</v>
      </c>
      <c r="AJ188" t="s">
        <v>801</v>
      </c>
      <c r="AL188" t="s">
        <v>53</v>
      </c>
      <c r="AM188" t="s">
        <v>54</v>
      </c>
    </row>
    <row r="189" spans="1:39" x14ac:dyDescent="0.35">
      <c r="A189" t="s">
        <v>876</v>
      </c>
      <c r="B189" t="s">
        <v>39</v>
      </c>
      <c r="C189" t="s">
        <v>40</v>
      </c>
      <c r="D189" t="s">
        <v>876</v>
      </c>
      <c r="F189" t="s">
        <v>704</v>
      </c>
      <c r="G189" t="s">
        <v>41</v>
      </c>
      <c r="H189" t="s">
        <v>42</v>
      </c>
      <c r="I189" t="s">
        <v>43</v>
      </c>
      <c r="J189" t="s">
        <v>877</v>
      </c>
      <c r="K189" s="2">
        <v>45406</v>
      </c>
      <c r="L189" s="2">
        <v>45406</v>
      </c>
      <c r="M189" s="2">
        <v>45407.077048611114</v>
      </c>
      <c r="N189" t="s">
        <v>878</v>
      </c>
      <c r="P189" t="s">
        <v>46</v>
      </c>
      <c r="S189" t="s">
        <v>145</v>
      </c>
      <c r="V189" s="2">
        <v>45406</v>
      </c>
      <c r="X189" t="s">
        <v>120</v>
      </c>
      <c r="Y189" t="s">
        <v>506</v>
      </c>
      <c r="AB189" t="s">
        <v>879</v>
      </c>
      <c r="AC189" t="s">
        <v>880</v>
      </c>
      <c r="AE189" t="s">
        <v>881</v>
      </c>
      <c r="AH189" t="s">
        <v>673</v>
      </c>
      <c r="AI189" t="s">
        <v>674</v>
      </c>
      <c r="AJ189" t="s">
        <v>734</v>
      </c>
      <c r="AL189" t="s">
        <v>53</v>
      </c>
      <c r="AM189" t="s">
        <v>54</v>
      </c>
    </row>
    <row r="190" spans="1:39" x14ac:dyDescent="0.35">
      <c r="A190" t="s">
        <v>882</v>
      </c>
      <c r="B190" t="s">
        <v>39</v>
      </c>
      <c r="C190" t="s">
        <v>41</v>
      </c>
      <c r="D190" t="s">
        <v>882</v>
      </c>
      <c r="E190">
        <v>1289</v>
      </c>
      <c r="F190" t="s">
        <v>883</v>
      </c>
      <c r="G190" t="s">
        <v>41</v>
      </c>
      <c r="H190" t="s">
        <v>42</v>
      </c>
      <c r="I190" t="s">
        <v>43</v>
      </c>
      <c r="J190" t="s">
        <v>884</v>
      </c>
      <c r="K190" s="2">
        <v>45420</v>
      </c>
      <c r="L190" s="2">
        <v>45420</v>
      </c>
      <c r="M190" s="2">
        <v>45420.778761574074</v>
      </c>
      <c r="N190" t="s">
        <v>885</v>
      </c>
      <c r="P190" t="s">
        <v>46</v>
      </c>
      <c r="S190" t="s">
        <v>145</v>
      </c>
      <c r="V190" s="2">
        <v>45420</v>
      </c>
      <c r="X190" t="s">
        <v>76</v>
      </c>
      <c r="Y190" t="s">
        <v>77</v>
      </c>
      <c r="AB190" t="s">
        <v>264</v>
      </c>
      <c r="AC190" t="s">
        <v>886</v>
      </c>
      <c r="AE190" t="s">
        <v>887</v>
      </c>
      <c r="AH190" t="s">
        <v>673</v>
      </c>
      <c r="AI190" t="s">
        <v>674</v>
      </c>
      <c r="AJ190" t="s">
        <v>728</v>
      </c>
      <c r="AL190" t="s">
        <v>53</v>
      </c>
      <c r="AM190" t="s">
        <v>54</v>
      </c>
    </row>
    <row r="191" spans="1:39" x14ac:dyDescent="0.35">
      <c r="A191" t="s">
        <v>888</v>
      </c>
      <c r="B191" t="s">
        <v>39</v>
      </c>
      <c r="C191" t="s">
        <v>40</v>
      </c>
      <c r="D191" t="s">
        <v>888</v>
      </c>
      <c r="F191" t="s">
        <v>704</v>
      </c>
      <c r="G191" t="s">
        <v>41</v>
      </c>
      <c r="H191" t="s">
        <v>224</v>
      </c>
      <c r="I191" t="s">
        <v>43</v>
      </c>
      <c r="J191" t="s">
        <v>889</v>
      </c>
      <c r="K191" s="2">
        <v>45425</v>
      </c>
      <c r="L191" s="2">
        <v>45426</v>
      </c>
      <c r="M191" s="2">
        <v>45474.733761574076</v>
      </c>
      <c r="N191" t="s">
        <v>890</v>
      </c>
      <c r="P191" t="s">
        <v>143</v>
      </c>
      <c r="R191" t="s">
        <v>891</v>
      </c>
      <c r="S191" t="s">
        <v>145</v>
      </c>
      <c r="T191" t="s">
        <v>766</v>
      </c>
      <c r="U191" s="2">
        <v>45558</v>
      </c>
      <c r="V191" s="2">
        <v>45559</v>
      </c>
      <c r="X191" t="s">
        <v>120</v>
      </c>
      <c r="Y191" t="s">
        <v>121</v>
      </c>
      <c r="AA191" s="2">
        <v>45559.552141203705</v>
      </c>
      <c r="AB191" t="s">
        <v>122</v>
      </c>
      <c r="AC191" t="s">
        <v>892</v>
      </c>
      <c r="AD191" t="b">
        <v>0</v>
      </c>
      <c r="AE191" t="s">
        <v>893</v>
      </c>
      <c r="AH191" t="s">
        <v>228</v>
      </c>
      <c r="AI191" t="s">
        <v>228</v>
      </c>
      <c r="AJ191" t="s">
        <v>771</v>
      </c>
      <c r="AK191" t="s">
        <v>771</v>
      </c>
      <c r="AL191" t="s">
        <v>53</v>
      </c>
      <c r="AM191" t="s">
        <v>54</v>
      </c>
    </row>
    <row r="192" spans="1:39" x14ac:dyDescent="0.35">
      <c r="A192" t="s">
        <v>894</v>
      </c>
      <c r="B192" t="s">
        <v>39</v>
      </c>
      <c r="C192" t="s">
        <v>41</v>
      </c>
      <c r="D192" t="s">
        <v>894</v>
      </c>
      <c r="E192">
        <v>1396</v>
      </c>
      <c r="F192" t="s">
        <v>895</v>
      </c>
      <c r="G192" t="s">
        <v>41</v>
      </c>
      <c r="H192" t="s">
        <v>42</v>
      </c>
      <c r="I192" t="s">
        <v>43</v>
      </c>
      <c r="J192" t="s">
        <v>896</v>
      </c>
      <c r="K192" s="2">
        <v>45421</v>
      </c>
      <c r="L192" s="2">
        <v>45426</v>
      </c>
      <c r="M192" s="2">
        <v>45427.102777777778</v>
      </c>
      <c r="N192" t="s">
        <v>897</v>
      </c>
      <c r="P192" t="s">
        <v>46</v>
      </c>
      <c r="S192" t="s">
        <v>145</v>
      </c>
      <c r="V192" s="2">
        <v>45426</v>
      </c>
      <c r="X192" t="s">
        <v>433</v>
      </c>
      <c r="Y192" t="s">
        <v>898</v>
      </c>
      <c r="AB192" t="s">
        <v>899</v>
      </c>
      <c r="AC192" t="s">
        <v>826</v>
      </c>
      <c r="AE192" t="s">
        <v>900</v>
      </c>
      <c r="AH192" t="s">
        <v>673</v>
      </c>
      <c r="AI192" t="s">
        <v>674</v>
      </c>
      <c r="AJ192" t="s">
        <v>728</v>
      </c>
      <c r="AL192" t="s">
        <v>53</v>
      </c>
      <c r="AM192" t="s">
        <v>54</v>
      </c>
    </row>
    <row r="193" spans="1:39" x14ac:dyDescent="0.35">
      <c r="A193" t="s">
        <v>894</v>
      </c>
      <c r="B193" t="s">
        <v>39</v>
      </c>
      <c r="C193" t="s">
        <v>40</v>
      </c>
      <c r="D193" t="s">
        <v>894</v>
      </c>
      <c r="F193" t="s">
        <v>702</v>
      </c>
      <c r="G193" t="s">
        <v>41</v>
      </c>
      <c r="H193" t="s">
        <v>42</v>
      </c>
      <c r="I193" t="s">
        <v>43</v>
      </c>
      <c r="J193" t="s">
        <v>896</v>
      </c>
      <c r="K193" s="2">
        <v>45421</v>
      </c>
      <c r="L193" s="2">
        <v>45426</v>
      </c>
      <c r="M193" s="2">
        <v>45427.102777777778</v>
      </c>
      <c r="N193" t="s">
        <v>897</v>
      </c>
      <c r="P193" t="s">
        <v>46</v>
      </c>
      <c r="S193" t="s">
        <v>145</v>
      </c>
      <c r="V193" s="2">
        <v>45426</v>
      </c>
      <c r="X193" t="s">
        <v>433</v>
      </c>
      <c r="Y193" t="s">
        <v>898</v>
      </c>
      <c r="AB193" t="s">
        <v>899</v>
      </c>
      <c r="AC193" t="s">
        <v>826</v>
      </c>
      <c r="AE193" t="s">
        <v>900</v>
      </c>
      <c r="AH193" t="s">
        <v>673</v>
      </c>
      <c r="AI193" t="s">
        <v>674</v>
      </c>
      <c r="AJ193" t="s">
        <v>728</v>
      </c>
      <c r="AL193" t="s">
        <v>53</v>
      </c>
      <c r="AM193" t="s">
        <v>54</v>
      </c>
    </row>
    <row r="194" spans="1:39" x14ac:dyDescent="0.35">
      <c r="A194" t="s">
        <v>901</v>
      </c>
      <c r="B194" t="s">
        <v>39</v>
      </c>
      <c r="C194" t="s">
        <v>40</v>
      </c>
      <c r="D194" t="s">
        <v>901</v>
      </c>
      <c r="F194" t="s">
        <v>704</v>
      </c>
      <c r="G194" t="s">
        <v>41</v>
      </c>
      <c r="H194" t="s">
        <v>42</v>
      </c>
      <c r="I194" t="s">
        <v>43</v>
      </c>
      <c r="J194" t="s">
        <v>902</v>
      </c>
      <c r="K194" s="2">
        <v>45426</v>
      </c>
      <c r="L194" s="2">
        <v>45426</v>
      </c>
      <c r="M194" s="2">
        <v>45427.753958333335</v>
      </c>
      <c r="N194" t="s">
        <v>903</v>
      </c>
      <c r="P194" t="s">
        <v>46</v>
      </c>
      <c r="S194" t="s">
        <v>145</v>
      </c>
      <c r="V194" s="2">
        <v>45427</v>
      </c>
      <c r="X194" t="s">
        <v>48</v>
      </c>
      <c r="Y194" t="s">
        <v>65</v>
      </c>
      <c r="AB194" t="s">
        <v>904</v>
      </c>
      <c r="AC194" t="s">
        <v>905</v>
      </c>
      <c r="AE194" t="s">
        <v>906</v>
      </c>
      <c r="AH194" t="s">
        <v>673</v>
      </c>
      <c r="AI194" t="s">
        <v>674</v>
      </c>
      <c r="AJ194" t="s">
        <v>734</v>
      </c>
      <c r="AL194" t="s">
        <v>53</v>
      </c>
      <c r="AM194" t="s">
        <v>54</v>
      </c>
    </row>
    <row r="195" spans="1:39" x14ac:dyDescent="0.35">
      <c r="A195" t="s">
        <v>907</v>
      </c>
      <c r="B195" t="s">
        <v>39</v>
      </c>
      <c r="C195" t="s">
        <v>41</v>
      </c>
      <c r="D195" t="s">
        <v>907</v>
      </c>
      <c r="E195">
        <v>1202</v>
      </c>
      <c r="F195" t="s">
        <v>908</v>
      </c>
      <c r="G195" t="s">
        <v>41</v>
      </c>
      <c r="H195" t="s">
        <v>42</v>
      </c>
      <c r="I195" t="s">
        <v>43</v>
      </c>
      <c r="J195" t="s">
        <v>909</v>
      </c>
      <c r="K195" s="2">
        <v>45427</v>
      </c>
      <c r="L195" s="2">
        <v>45428</v>
      </c>
      <c r="M195" s="2">
        <v>45428.675613425927</v>
      </c>
      <c r="N195" t="s">
        <v>910</v>
      </c>
      <c r="P195" t="s">
        <v>46</v>
      </c>
      <c r="S195" t="s">
        <v>145</v>
      </c>
      <c r="V195" s="2">
        <v>45428</v>
      </c>
      <c r="X195" t="s">
        <v>76</v>
      </c>
      <c r="Y195" t="s">
        <v>77</v>
      </c>
      <c r="AB195" t="s">
        <v>264</v>
      </c>
      <c r="AC195" t="s">
        <v>886</v>
      </c>
      <c r="AE195" t="s">
        <v>911</v>
      </c>
      <c r="AH195" t="s">
        <v>673</v>
      </c>
      <c r="AI195" t="s">
        <v>674</v>
      </c>
      <c r="AJ195" t="s">
        <v>675</v>
      </c>
      <c r="AL195" t="s">
        <v>53</v>
      </c>
      <c r="AM195" t="s">
        <v>54</v>
      </c>
    </row>
    <row r="196" spans="1:39" x14ac:dyDescent="0.35">
      <c r="A196" t="s">
        <v>912</v>
      </c>
      <c r="B196" t="s">
        <v>39</v>
      </c>
      <c r="C196" t="s">
        <v>40</v>
      </c>
      <c r="D196" t="s">
        <v>912</v>
      </c>
      <c r="F196" t="s">
        <v>913</v>
      </c>
      <c r="G196" t="s">
        <v>41</v>
      </c>
      <c r="H196" t="s">
        <v>224</v>
      </c>
      <c r="I196" t="s">
        <v>43</v>
      </c>
      <c r="J196" t="s">
        <v>914</v>
      </c>
      <c r="K196" s="2">
        <v>45435</v>
      </c>
      <c r="L196" s="2">
        <v>45441</v>
      </c>
      <c r="M196" s="2">
        <v>45442.587476851855</v>
      </c>
      <c r="N196" t="s">
        <v>915</v>
      </c>
      <c r="P196" t="s">
        <v>143</v>
      </c>
      <c r="R196" t="s">
        <v>916</v>
      </c>
      <c r="S196" t="s">
        <v>145</v>
      </c>
      <c r="T196" t="s">
        <v>766</v>
      </c>
      <c r="U196" s="2">
        <v>45477</v>
      </c>
      <c r="V196" s="2">
        <v>45477</v>
      </c>
      <c r="X196" t="s">
        <v>386</v>
      </c>
      <c r="Y196" t="s">
        <v>917</v>
      </c>
      <c r="AA196" s="2">
        <v>45477.72457175926</v>
      </c>
      <c r="AB196" t="s">
        <v>918</v>
      </c>
      <c r="AC196" t="s">
        <v>919</v>
      </c>
      <c r="AD196" t="b">
        <v>0</v>
      </c>
      <c r="AE196" t="s">
        <v>920</v>
      </c>
      <c r="AH196" t="s">
        <v>228</v>
      </c>
      <c r="AI196" t="s">
        <v>228</v>
      </c>
      <c r="AJ196" t="s">
        <v>771</v>
      </c>
      <c r="AK196" t="s">
        <v>771</v>
      </c>
      <c r="AL196" t="s">
        <v>53</v>
      </c>
      <c r="AM196" t="s">
        <v>54</v>
      </c>
    </row>
    <row r="197" spans="1:39" x14ac:dyDescent="0.35">
      <c r="A197" t="s">
        <v>921</v>
      </c>
      <c r="B197" t="s">
        <v>39</v>
      </c>
      <c r="C197" t="s">
        <v>41</v>
      </c>
      <c r="D197" t="s">
        <v>921</v>
      </c>
      <c r="E197">
        <v>1005</v>
      </c>
      <c r="F197" t="s">
        <v>922</v>
      </c>
      <c r="G197" t="s">
        <v>41</v>
      </c>
      <c r="H197" t="s">
        <v>42</v>
      </c>
      <c r="I197" t="s">
        <v>43</v>
      </c>
      <c r="J197" t="s">
        <v>923</v>
      </c>
      <c r="K197" s="2">
        <v>45443</v>
      </c>
      <c r="L197" s="2">
        <v>45443</v>
      </c>
      <c r="M197" s="2">
        <v>45443.859074074076</v>
      </c>
      <c r="N197" t="s">
        <v>924</v>
      </c>
      <c r="P197" t="s">
        <v>46</v>
      </c>
      <c r="S197" t="s">
        <v>145</v>
      </c>
      <c r="V197" s="2">
        <v>45443</v>
      </c>
      <c r="X197" t="s">
        <v>256</v>
      </c>
      <c r="Y197" t="s">
        <v>257</v>
      </c>
      <c r="AB197" t="s">
        <v>218</v>
      </c>
      <c r="AC197" t="s">
        <v>925</v>
      </c>
      <c r="AE197" t="s">
        <v>926</v>
      </c>
      <c r="AH197" t="s">
        <v>673</v>
      </c>
      <c r="AI197" t="s">
        <v>742</v>
      </c>
      <c r="AJ197" t="s">
        <v>927</v>
      </c>
      <c r="AL197" t="s">
        <v>53</v>
      </c>
      <c r="AM197" t="s">
        <v>54</v>
      </c>
    </row>
    <row r="198" spans="1:39" x14ac:dyDescent="0.35">
      <c r="A198" t="s">
        <v>921</v>
      </c>
      <c r="B198" t="s">
        <v>39</v>
      </c>
      <c r="C198" t="s">
        <v>40</v>
      </c>
      <c r="D198" t="s">
        <v>921</v>
      </c>
      <c r="F198" t="s">
        <v>704</v>
      </c>
      <c r="G198" t="s">
        <v>41</v>
      </c>
      <c r="H198" t="s">
        <v>42</v>
      </c>
      <c r="I198" t="s">
        <v>43</v>
      </c>
      <c r="J198" t="s">
        <v>923</v>
      </c>
      <c r="K198" s="2">
        <v>45443</v>
      </c>
      <c r="L198" s="2">
        <v>45443</v>
      </c>
      <c r="M198" s="2">
        <v>45443.859074074076</v>
      </c>
      <c r="N198" t="s">
        <v>924</v>
      </c>
      <c r="P198" t="s">
        <v>46</v>
      </c>
      <c r="S198" t="s">
        <v>145</v>
      </c>
      <c r="V198" s="2">
        <v>45443</v>
      </c>
      <c r="X198" t="s">
        <v>256</v>
      </c>
      <c r="Y198" t="s">
        <v>257</v>
      </c>
      <c r="AB198" t="s">
        <v>218</v>
      </c>
      <c r="AC198" t="s">
        <v>925</v>
      </c>
      <c r="AE198" t="s">
        <v>926</v>
      </c>
      <c r="AH198" t="s">
        <v>673</v>
      </c>
      <c r="AI198" t="s">
        <v>742</v>
      </c>
      <c r="AJ198" t="s">
        <v>927</v>
      </c>
      <c r="AL198" t="s">
        <v>53</v>
      </c>
      <c r="AM198" t="s">
        <v>54</v>
      </c>
    </row>
    <row r="199" spans="1:39" x14ac:dyDescent="0.35">
      <c r="A199" t="s">
        <v>928</v>
      </c>
      <c r="B199" t="s">
        <v>39</v>
      </c>
      <c r="C199" t="s">
        <v>40</v>
      </c>
      <c r="D199" t="s">
        <v>928</v>
      </c>
      <c r="F199" t="s">
        <v>702</v>
      </c>
      <c r="G199" t="s">
        <v>41</v>
      </c>
      <c r="H199" t="s">
        <v>42</v>
      </c>
      <c r="I199" t="s">
        <v>43</v>
      </c>
      <c r="J199" t="s">
        <v>929</v>
      </c>
      <c r="K199" s="2">
        <v>45446</v>
      </c>
      <c r="L199" s="2">
        <v>45447</v>
      </c>
      <c r="M199" s="2">
        <v>45447.666134259256</v>
      </c>
      <c r="N199" t="s">
        <v>930</v>
      </c>
      <c r="P199" t="s">
        <v>46</v>
      </c>
      <c r="S199" t="s">
        <v>145</v>
      </c>
      <c r="V199" s="2">
        <v>45447</v>
      </c>
      <c r="X199" t="s">
        <v>82</v>
      </c>
      <c r="Y199" t="s">
        <v>175</v>
      </c>
      <c r="AB199" t="s">
        <v>84</v>
      </c>
      <c r="AC199" t="s">
        <v>85</v>
      </c>
      <c r="AE199" t="s">
        <v>931</v>
      </c>
      <c r="AH199" t="s">
        <v>673</v>
      </c>
      <c r="AI199" t="s">
        <v>674</v>
      </c>
      <c r="AJ199" t="s">
        <v>675</v>
      </c>
      <c r="AL199" t="s">
        <v>53</v>
      </c>
      <c r="AM199" t="s">
        <v>54</v>
      </c>
    </row>
    <row r="200" spans="1:39" x14ac:dyDescent="0.35">
      <c r="A200" t="s">
        <v>932</v>
      </c>
      <c r="B200" t="s">
        <v>39</v>
      </c>
      <c r="C200" t="s">
        <v>40</v>
      </c>
      <c r="D200" t="s">
        <v>932</v>
      </c>
      <c r="F200" t="s">
        <v>704</v>
      </c>
      <c r="G200" t="s">
        <v>41</v>
      </c>
      <c r="H200" t="s">
        <v>224</v>
      </c>
      <c r="I200" t="s">
        <v>43</v>
      </c>
      <c r="J200" t="s">
        <v>933</v>
      </c>
      <c r="K200" s="2">
        <v>45453</v>
      </c>
      <c r="L200" s="2">
        <v>45453</v>
      </c>
      <c r="M200" s="2">
        <v>45454.632789351854</v>
      </c>
      <c r="N200" t="s">
        <v>934</v>
      </c>
      <c r="P200" t="s">
        <v>143</v>
      </c>
      <c r="Q200" s="3">
        <v>45678</v>
      </c>
      <c r="R200" t="s">
        <v>935</v>
      </c>
      <c r="S200" t="s">
        <v>145</v>
      </c>
      <c r="T200" t="s">
        <v>708</v>
      </c>
      <c r="U200" s="2">
        <v>45504</v>
      </c>
      <c r="V200" s="2">
        <v>45868</v>
      </c>
      <c r="X200" t="s">
        <v>48</v>
      </c>
      <c r="Y200" t="s">
        <v>65</v>
      </c>
      <c r="AA200" s="2">
        <v>45505.63385416667</v>
      </c>
      <c r="AB200" t="s">
        <v>247</v>
      </c>
      <c r="AC200" t="s">
        <v>936</v>
      </c>
      <c r="AD200" t="b">
        <v>0</v>
      </c>
      <c r="AE200" t="s">
        <v>937</v>
      </c>
      <c r="AH200" t="s">
        <v>938</v>
      </c>
      <c r="AI200" t="s">
        <v>800</v>
      </c>
      <c r="AJ200" t="s">
        <v>801</v>
      </c>
      <c r="AK200" t="s">
        <v>939</v>
      </c>
      <c r="AL200" t="s">
        <v>53</v>
      </c>
      <c r="AM200" t="s">
        <v>54</v>
      </c>
    </row>
    <row r="201" spans="1:39" x14ac:dyDescent="0.35">
      <c r="A201" t="s">
        <v>940</v>
      </c>
      <c r="B201" t="s">
        <v>39</v>
      </c>
      <c r="C201" t="s">
        <v>41</v>
      </c>
      <c r="D201" t="s">
        <v>940</v>
      </c>
      <c r="E201">
        <v>1394</v>
      </c>
      <c r="F201" t="s">
        <v>941</v>
      </c>
      <c r="G201" t="s">
        <v>41</v>
      </c>
      <c r="H201" t="s">
        <v>42</v>
      </c>
      <c r="I201" t="s">
        <v>43</v>
      </c>
      <c r="J201" t="s">
        <v>942</v>
      </c>
      <c r="K201" s="2">
        <v>45450</v>
      </c>
      <c r="L201" s="2">
        <v>45455</v>
      </c>
      <c r="M201" s="2">
        <v>45455.693541666667</v>
      </c>
      <c r="N201" t="s">
        <v>943</v>
      </c>
      <c r="P201" t="s">
        <v>46</v>
      </c>
      <c r="S201" t="s">
        <v>145</v>
      </c>
      <c r="V201" s="2">
        <v>45455</v>
      </c>
      <c r="X201" t="s">
        <v>944</v>
      </c>
      <c r="Y201" t="s">
        <v>945</v>
      </c>
      <c r="AB201" t="s">
        <v>946</v>
      </c>
      <c r="AC201" t="s">
        <v>826</v>
      </c>
      <c r="AE201" t="s">
        <v>947</v>
      </c>
      <c r="AH201" t="s">
        <v>673</v>
      </c>
      <c r="AI201" t="s">
        <v>674</v>
      </c>
      <c r="AJ201" t="s">
        <v>728</v>
      </c>
      <c r="AL201" t="s">
        <v>53</v>
      </c>
      <c r="AM201" t="s">
        <v>54</v>
      </c>
    </row>
    <row r="202" spans="1:39" x14ac:dyDescent="0.35">
      <c r="A202" t="s">
        <v>948</v>
      </c>
      <c r="B202" t="s">
        <v>39</v>
      </c>
      <c r="C202" t="s">
        <v>41</v>
      </c>
      <c r="D202" t="s">
        <v>948</v>
      </c>
      <c r="E202">
        <v>1149</v>
      </c>
      <c r="F202" t="s">
        <v>949</v>
      </c>
      <c r="G202" t="s">
        <v>41</v>
      </c>
      <c r="H202" t="s">
        <v>224</v>
      </c>
      <c r="I202" t="s">
        <v>43</v>
      </c>
      <c r="J202" t="s">
        <v>950</v>
      </c>
      <c r="K202" s="2">
        <v>45462</v>
      </c>
      <c r="L202" s="2">
        <v>45471</v>
      </c>
      <c r="M202" s="2">
        <v>45471.739236111112</v>
      </c>
      <c r="N202" t="s">
        <v>951</v>
      </c>
      <c r="P202" t="s">
        <v>143</v>
      </c>
      <c r="R202" t="s">
        <v>952</v>
      </c>
      <c r="S202" t="s">
        <v>145</v>
      </c>
      <c r="T202" t="s">
        <v>656</v>
      </c>
      <c r="U202" s="2">
        <v>45642</v>
      </c>
      <c r="V202" s="2">
        <v>45848</v>
      </c>
      <c r="X202" t="s">
        <v>953</v>
      </c>
      <c r="Y202" t="s">
        <v>954</v>
      </c>
      <c r="AA202" s="2">
        <v>45642.863356481481</v>
      </c>
      <c r="AB202" t="s">
        <v>955</v>
      </c>
      <c r="AC202" t="s">
        <v>956</v>
      </c>
      <c r="AD202" t="b">
        <v>0</v>
      </c>
      <c r="AE202" t="s">
        <v>957</v>
      </c>
      <c r="AH202" t="s">
        <v>958</v>
      </c>
      <c r="AI202" t="s">
        <v>959</v>
      </c>
      <c r="AJ202" t="s">
        <v>960</v>
      </c>
      <c r="AK202" t="s">
        <v>961</v>
      </c>
      <c r="AL202" t="s">
        <v>53</v>
      </c>
      <c r="AM202" t="s">
        <v>54</v>
      </c>
    </row>
    <row r="203" spans="1:39" x14ac:dyDescent="0.35">
      <c r="A203" t="s">
        <v>948</v>
      </c>
      <c r="B203" t="s">
        <v>39</v>
      </c>
      <c r="C203" t="s">
        <v>40</v>
      </c>
      <c r="D203" t="s">
        <v>948</v>
      </c>
      <c r="F203" t="s">
        <v>854</v>
      </c>
      <c r="G203" t="s">
        <v>41</v>
      </c>
      <c r="H203" t="s">
        <v>224</v>
      </c>
      <c r="I203" t="s">
        <v>43</v>
      </c>
      <c r="J203" t="s">
        <v>950</v>
      </c>
      <c r="K203" s="2">
        <v>45462</v>
      </c>
      <c r="L203" s="2">
        <v>45471</v>
      </c>
      <c r="M203" s="2">
        <v>45471.739236111112</v>
      </c>
      <c r="N203" t="s">
        <v>951</v>
      </c>
      <c r="P203" t="s">
        <v>143</v>
      </c>
      <c r="R203" t="s">
        <v>952</v>
      </c>
      <c r="S203" t="s">
        <v>145</v>
      </c>
      <c r="T203" t="s">
        <v>656</v>
      </c>
      <c r="U203" s="2">
        <v>45642</v>
      </c>
      <c r="V203" s="2">
        <v>45848</v>
      </c>
      <c r="X203" t="s">
        <v>953</v>
      </c>
      <c r="Y203" t="s">
        <v>954</v>
      </c>
      <c r="AA203" s="2">
        <v>45642.863356481481</v>
      </c>
      <c r="AB203" t="s">
        <v>955</v>
      </c>
      <c r="AC203" t="s">
        <v>956</v>
      </c>
      <c r="AD203" t="b">
        <v>0</v>
      </c>
      <c r="AE203" t="s">
        <v>957</v>
      </c>
      <c r="AH203" t="s">
        <v>958</v>
      </c>
      <c r="AI203" t="s">
        <v>959</v>
      </c>
      <c r="AJ203" t="s">
        <v>960</v>
      </c>
      <c r="AK203" t="s">
        <v>961</v>
      </c>
      <c r="AL203" t="s">
        <v>53</v>
      </c>
      <c r="AM203" t="s">
        <v>54</v>
      </c>
    </row>
    <row r="204" spans="1:39" x14ac:dyDescent="0.35">
      <c r="A204" t="s">
        <v>962</v>
      </c>
      <c r="B204" t="s">
        <v>39</v>
      </c>
      <c r="C204" t="s">
        <v>40</v>
      </c>
      <c r="D204" t="s">
        <v>962</v>
      </c>
      <c r="F204" t="s">
        <v>704</v>
      </c>
      <c r="G204" t="s">
        <v>41</v>
      </c>
      <c r="H204" t="s">
        <v>224</v>
      </c>
      <c r="I204" t="s">
        <v>43</v>
      </c>
      <c r="J204" t="s">
        <v>963</v>
      </c>
      <c r="K204" s="2">
        <v>45406</v>
      </c>
      <c r="L204" s="2">
        <v>45484</v>
      </c>
      <c r="M204" s="2">
        <v>45484.778032407405</v>
      </c>
      <c r="N204" t="s">
        <v>964</v>
      </c>
      <c r="P204" t="s">
        <v>143</v>
      </c>
      <c r="R204" t="s">
        <v>965</v>
      </c>
      <c r="S204" t="s">
        <v>630</v>
      </c>
      <c r="U204" s="2">
        <v>45505</v>
      </c>
      <c r="V204" s="2">
        <v>45961</v>
      </c>
      <c r="X204" t="s">
        <v>120</v>
      </c>
      <c r="Y204" t="s">
        <v>121</v>
      </c>
      <c r="AA204" s="2">
        <v>45574.555034722223</v>
      </c>
      <c r="AB204" t="s">
        <v>122</v>
      </c>
      <c r="AC204" t="s">
        <v>880</v>
      </c>
      <c r="AD204" t="b">
        <v>0</v>
      </c>
      <c r="AE204" t="s">
        <v>966</v>
      </c>
      <c r="AH204" t="s">
        <v>967</v>
      </c>
      <c r="AI204" t="s">
        <v>674</v>
      </c>
      <c r="AJ204" t="s">
        <v>968</v>
      </c>
      <c r="AK204" t="s">
        <v>969</v>
      </c>
      <c r="AL204" t="s">
        <v>53</v>
      </c>
      <c r="AM204" t="s">
        <v>54</v>
      </c>
    </row>
    <row r="205" spans="1:39" x14ac:dyDescent="0.35">
      <c r="A205" t="s">
        <v>970</v>
      </c>
      <c r="B205" t="s">
        <v>39</v>
      </c>
      <c r="C205" t="s">
        <v>41</v>
      </c>
      <c r="D205" t="s">
        <v>970</v>
      </c>
      <c r="E205">
        <v>1135</v>
      </c>
      <c r="F205" t="s">
        <v>971</v>
      </c>
      <c r="G205" t="s">
        <v>41</v>
      </c>
      <c r="H205" t="s">
        <v>42</v>
      </c>
      <c r="I205" t="s">
        <v>43</v>
      </c>
      <c r="J205" t="s">
        <v>972</v>
      </c>
      <c r="K205" s="2">
        <v>45484</v>
      </c>
      <c r="L205" s="2">
        <v>45489</v>
      </c>
      <c r="M205" s="2">
        <v>45597.43954861111</v>
      </c>
      <c r="N205" t="s">
        <v>973</v>
      </c>
      <c r="P205" t="s">
        <v>46</v>
      </c>
      <c r="R205" t="s">
        <v>974</v>
      </c>
      <c r="S205" t="s">
        <v>145</v>
      </c>
      <c r="T205" t="s">
        <v>868</v>
      </c>
      <c r="U205" s="2">
        <v>45597</v>
      </c>
      <c r="V205" s="2">
        <v>45560</v>
      </c>
      <c r="X205" t="s">
        <v>105</v>
      </c>
      <c r="Y205" t="s">
        <v>106</v>
      </c>
      <c r="AB205" t="s">
        <v>107</v>
      </c>
      <c r="AC205" t="s">
        <v>975</v>
      </c>
      <c r="AD205" t="b">
        <v>0</v>
      </c>
      <c r="AE205" t="s">
        <v>976</v>
      </c>
      <c r="AH205" t="s">
        <v>673</v>
      </c>
      <c r="AI205" t="s">
        <v>674</v>
      </c>
      <c r="AJ205" t="s">
        <v>734</v>
      </c>
      <c r="AK205" t="s">
        <v>977</v>
      </c>
      <c r="AL205" t="s">
        <v>53</v>
      </c>
      <c r="AM205" t="s">
        <v>54</v>
      </c>
    </row>
    <row r="206" spans="1:39" x14ac:dyDescent="0.35">
      <c r="A206" t="s">
        <v>978</v>
      </c>
      <c r="B206" t="s">
        <v>39</v>
      </c>
      <c r="C206" t="s">
        <v>41</v>
      </c>
      <c r="D206" t="s">
        <v>978</v>
      </c>
      <c r="E206">
        <v>1363</v>
      </c>
      <c r="F206" t="s">
        <v>979</v>
      </c>
      <c r="G206" t="s">
        <v>41</v>
      </c>
      <c r="H206" t="s">
        <v>224</v>
      </c>
      <c r="I206" t="s">
        <v>43</v>
      </c>
      <c r="J206" t="s">
        <v>980</v>
      </c>
      <c r="K206" s="2">
        <v>45484</v>
      </c>
      <c r="L206" s="2">
        <v>45489</v>
      </c>
      <c r="M206" s="2">
        <v>45491.66778935185</v>
      </c>
      <c r="N206" t="s">
        <v>981</v>
      </c>
      <c r="P206" t="s">
        <v>143</v>
      </c>
      <c r="R206" t="s">
        <v>982</v>
      </c>
      <c r="S206" t="s">
        <v>630</v>
      </c>
      <c r="U206" s="2">
        <v>45574</v>
      </c>
      <c r="V206" s="2">
        <v>45847</v>
      </c>
      <c r="X206" t="s">
        <v>983</v>
      </c>
      <c r="Y206" t="s">
        <v>984</v>
      </c>
      <c r="AA206" s="2">
        <v>45646.790613425925</v>
      </c>
      <c r="AB206" t="s">
        <v>985</v>
      </c>
      <c r="AC206" t="s">
        <v>975</v>
      </c>
      <c r="AD206" t="b">
        <v>0</v>
      </c>
      <c r="AE206" t="s">
        <v>986</v>
      </c>
      <c r="AH206" t="s">
        <v>987</v>
      </c>
      <c r="AI206" t="s">
        <v>674</v>
      </c>
      <c r="AJ206" t="s">
        <v>675</v>
      </c>
      <c r="AK206" t="s">
        <v>988</v>
      </c>
      <c r="AL206" t="s">
        <v>53</v>
      </c>
      <c r="AM206" t="s">
        <v>54</v>
      </c>
    </row>
    <row r="207" spans="1:39" x14ac:dyDescent="0.35">
      <c r="A207" t="s">
        <v>978</v>
      </c>
      <c r="B207" t="s">
        <v>39</v>
      </c>
      <c r="C207" t="s">
        <v>40</v>
      </c>
      <c r="D207" t="s">
        <v>978</v>
      </c>
      <c r="F207" t="s">
        <v>702</v>
      </c>
      <c r="G207" t="s">
        <v>41</v>
      </c>
      <c r="H207" t="s">
        <v>224</v>
      </c>
      <c r="I207" t="s">
        <v>43</v>
      </c>
      <c r="J207" t="s">
        <v>980</v>
      </c>
      <c r="K207" s="2">
        <v>45484</v>
      </c>
      <c r="L207" s="2">
        <v>45489</v>
      </c>
      <c r="M207" s="2">
        <v>45491.66778935185</v>
      </c>
      <c r="N207" t="s">
        <v>981</v>
      </c>
      <c r="P207" t="s">
        <v>143</v>
      </c>
      <c r="R207" t="s">
        <v>982</v>
      </c>
      <c r="S207" t="s">
        <v>630</v>
      </c>
      <c r="U207" s="2">
        <v>45574</v>
      </c>
      <c r="V207" s="2">
        <v>45847</v>
      </c>
      <c r="X207" t="s">
        <v>983</v>
      </c>
      <c r="Y207" t="s">
        <v>984</v>
      </c>
      <c r="AA207" s="2">
        <v>45646.790613425925</v>
      </c>
      <c r="AB207" t="s">
        <v>985</v>
      </c>
      <c r="AC207" t="s">
        <v>975</v>
      </c>
      <c r="AD207" t="b">
        <v>0</v>
      </c>
      <c r="AE207" t="s">
        <v>986</v>
      </c>
      <c r="AH207" t="s">
        <v>987</v>
      </c>
      <c r="AI207" t="s">
        <v>674</v>
      </c>
      <c r="AJ207" t="s">
        <v>675</v>
      </c>
      <c r="AK207" t="s">
        <v>988</v>
      </c>
      <c r="AL207" t="s">
        <v>53</v>
      </c>
      <c r="AM207" t="s">
        <v>54</v>
      </c>
    </row>
    <row r="208" spans="1:39" x14ac:dyDescent="0.35">
      <c r="A208" t="s">
        <v>989</v>
      </c>
      <c r="B208" t="s">
        <v>39</v>
      </c>
      <c r="C208" t="s">
        <v>41</v>
      </c>
      <c r="D208" t="s">
        <v>989</v>
      </c>
      <c r="E208">
        <v>1372</v>
      </c>
      <c r="F208" t="s">
        <v>990</v>
      </c>
      <c r="G208" t="s">
        <v>41</v>
      </c>
      <c r="H208" t="s">
        <v>224</v>
      </c>
      <c r="I208" t="s">
        <v>43</v>
      </c>
      <c r="J208" t="s">
        <v>991</v>
      </c>
      <c r="K208" s="2">
        <v>45484</v>
      </c>
      <c r="L208" s="2">
        <v>45489</v>
      </c>
      <c r="M208" s="2">
        <v>45489.633333333331</v>
      </c>
      <c r="N208" t="s">
        <v>992</v>
      </c>
      <c r="P208" t="s">
        <v>143</v>
      </c>
      <c r="R208" t="s">
        <v>993</v>
      </c>
      <c r="S208" t="s">
        <v>145</v>
      </c>
      <c r="T208" t="s">
        <v>656</v>
      </c>
      <c r="U208" s="2">
        <v>45566</v>
      </c>
      <c r="V208" s="2">
        <v>45764</v>
      </c>
      <c r="X208" t="s">
        <v>105</v>
      </c>
      <c r="Y208" t="s">
        <v>106</v>
      </c>
      <c r="AA208" s="2">
        <v>45646.775868055556</v>
      </c>
      <c r="AB208" t="s">
        <v>107</v>
      </c>
      <c r="AC208" t="s">
        <v>975</v>
      </c>
      <c r="AD208" t="b">
        <v>0</v>
      </c>
      <c r="AE208" t="s">
        <v>994</v>
      </c>
      <c r="AH208" t="s">
        <v>995</v>
      </c>
      <c r="AI208" t="s">
        <v>674</v>
      </c>
      <c r="AJ208" t="s">
        <v>701</v>
      </c>
      <c r="AK208" t="s">
        <v>996</v>
      </c>
      <c r="AL208" t="s">
        <v>53</v>
      </c>
      <c r="AM208" t="s">
        <v>54</v>
      </c>
    </row>
    <row r="209" spans="1:39" x14ac:dyDescent="0.35">
      <c r="A209" t="s">
        <v>997</v>
      </c>
      <c r="B209" t="s">
        <v>39</v>
      </c>
      <c r="C209" t="s">
        <v>41</v>
      </c>
      <c r="D209" t="s">
        <v>997</v>
      </c>
      <c r="E209">
        <v>1135</v>
      </c>
      <c r="F209" t="s">
        <v>971</v>
      </c>
      <c r="G209" t="s">
        <v>41</v>
      </c>
      <c r="H209" t="s">
        <v>224</v>
      </c>
      <c r="I209" t="s">
        <v>43</v>
      </c>
      <c r="J209" t="s">
        <v>998</v>
      </c>
      <c r="K209" s="2">
        <v>45491</v>
      </c>
      <c r="L209" s="2">
        <v>45491</v>
      </c>
      <c r="M209" s="2">
        <v>45491.63826388889</v>
      </c>
      <c r="N209" t="s">
        <v>999</v>
      </c>
      <c r="P209" t="s">
        <v>143</v>
      </c>
      <c r="Q209" s="3">
        <v>45611</v>
      </c>
      <c r="R209" t="s">
        <v>1000</v>
      </c>
      <c r="S209" t="s">
        <v>630</v>
      </c>
      <c r="U209" s="2">
        <v>45547</v>
      </c>
      <c r="V209" s="2">
        <v>45942</v>
      </c>
      <c r="X209" t="s">
        <v>1001</v>
      </c>
      <c r="Y209" t="s">
        <v>1002</v>
      </c>
      <c r="AA209" s="2">
        <v>45548.943541666667</v>
      </c>
      <c r="AB209" t="s">
        <v>1003</v>
      </c>
      <c r="AC209" t="s">
        <v>886</v>
      </c>
      <c r="AD209" t="b">
        <v>0</v>
      </c>
      <c r="AE209" t="s">
        <v>1004</v>
      </c>
      <c r="AH209" t="s">
        <v>1005</v>
      </c>
      <c r="AI209" t="s">
        <v>800</v>
      </c>
      <c r="AJ209" t="s">
        <v>801</v>
      </c>
      <c r="AK209" t="s">
        <v>1006</v>
      </c>
      <c r="AL209" t="s">
        <v>53</v>
      </c>
      <c r="AM209" t="s">
        <v>54</v>
      </c>
    </row>
    <row r="210" spans="1:39" x14ac:dyDescent="0.35">
      <c r="A210" t="s">
        <v>997</v>
      </c>
      <c r="B210" t="s">
        <v>39</v>
      </c>
      <c r="C210" t="s">
        <v>40</v>
      </c>
      <c r="D210" t="s">
        <v>997</v>
      </c>
      <c r="F210" t="s">
        <v>702</v>
      </c>
      <c r="G210" t="s">
        <v>41</v>
      </c>
      <c r="H210" t="s">
        <v>224</v>
      </c>
      <c r="I210" t="s">
        <v>43</v>
      </c>
      <c r="J210" t="s">
        <v>998</v>
      </c>
      <c r="K210" s="2">
        <v>45491</v>
      </c>
      <c r="L210" s="2">
        <v>45491</v>
      </c>
      <c r="M210" s="2">
        <v>45491.63826388889</v>
      </c>
      <c r="N210" t="s">
        <v>999</v>
      </c>
      <c r="P210" t="s">
        <v>143</v>
      </c>
      <c r="Q210" s="3">
        <v>45611</v>
      </c>
      <c r="R210" t="s">
        <v>1000</v>
      </c>
      <c r="S210" t="s">
        <v>630</v>
      </c>
      <c r="U210" s="2">
        <v>45547</v>
      </c>
      <c r="V210" s="2">
        <v>45942</v>
      </c>
      <c r="X210" t="s">
        <v>1001</v>
      </c>
      <c r="Y210" t="s">
        <v>1002</v>
      </c>
      <c r="AA210" s="2">
        <v>45548.943541666667</v>
      </c>
      <c r="AB210" t="s">
        <v>1003</v>
      </c>
      <c r="AC210" t="s">
        <v>886</v>
      </c>
      <c r="AD210" t="b">
        <v>0</v>
      </c>
      <c r="AE210" t="s">
        <v>1004</v>
      </c>
      <c r="AH210" t="s">
        <v>1005</v>
      </c>
      <c r="AI210" t="s">
        <v>800</v>
      </c>
      <c r="AJ210" t="s">
        <v>801</v>
      </c>
      <c r="AK210" t="s">
        <v>1006</v>
      </c>
      <c r="AL210" t="s">
        <v>53</v>
      </c>
      <c r="AM210" t="s">
        <v>54</v>
      </c>
    </row>
    <row r="211" spans="1:39" x14ac:dyDescent="0.35">
      <c r="A211" t="s">
        <v>1007</v>
      </c>
      <c r="B211" t="s">
        <v>39</v>
      </c>
      <c r="C211" t="s">
        <v>41</v>
      </c>
      <c r="D211" t="s">
        <v>1007</v>
      </c>
      <c r="E211">
        <v>1407</v>
      </c>
      <c r="F211" t="s">
        <v>1008</v>
      </c>
      <c r="G211" t="s">
        <v>41</v>
      </c>
      <c r="H211" t="s">
        <v>42</v>
      </c>
      <c r="I211" t="s">
        <v>43</v>
      </c>
      <c r="J211" t="s">
        <v>1009</v>
      </c>
      <c r="K211" s="2">
        <v>45502</v>
      </c>
      <c r="L211" s="2">
        <v>45502</v>
      </c>
      <c r="M211" s="2">
        <v>45502.729479166665</v>
      </c>
      <c r="N211" t="s">
        <v>1010</v>
      </c>
      <c r="P211" t="s">
        <v>46</v>
      </c>
      <c r="S211" t="s">
        <v>145</v>
      </c>
      <c r="V211" s="2">
        <v>45502</v>
      </c>
      <c r="X211" t="s">
        <v>76</v>
      </c>
      <c r="Y211" t="s">
        <v>77</v>
      </c>
      <c r="AB211" t="s">
        <v>264</v>
      </c>
      <c r="AC211" t="s">
        <v>85</v>
      </c>
      <c r="AE211" t="s">
        <v>1011</v>
      </c>
      <c r="AH211" t="s">
        <v>673</v>
      </c>
      <c r="AI211" t="s">
        <v>674</v>
      </c>
      <c r="AJ211" t="s">
        <v>734</v>
      </c>
      <c r="AL211" t="s">
        <v>53</v>
      </c>
      <c r="AM211" t="s">
        <v>54</v>
      </c>
    </row>
    <row r="212" spans="1:39" x14ac:dyDescent="0.35">
      <c r="A212" t="s">
        <v>1012</v>
      </c>
      <c r="B212" t="s">
        <v>39</v>
      </c>
      <c r="C212" t="s">
        <v>40</v>
      </c>
      <c r="D212" t="s">
        <v>1012</v>
      </c>
      <c r="F212" t="s">
        <v>704</v>
      </c>
      <c r="G212" t="s">
        <v>41</v>
      </c>
      <c r="H212" t="s">
        <v>42</v>
      </c>
      <c r="I212" t="s">
        <v>43</v>
      </c>
      <c r="J212" t="s">
        <v>1013</v>
      </c>
      <c r="K212" s="2">
        <v>45530</v>
      </c>
      <c r="L212" s="2">
        <v>45531</v>
      </c>
      <c r="M212" s="2">
        <v>45531.683136574073</v>
      </c>
      <c r="N212" t="s">
        <v>1014</v>
      </c>
      <c r="P212" t="s">
        <v>46</v>
      </c>
      <c r="S212" t="s">
        <v>145</v>
      </c>
      <c r="V212" s="2">
        <v>45531</v>
      </c>
      <c r="X212" t="s">
        <v>1015</v>
      </c>
      <c r="Y212" t="s">
        <v>1016</v>
      </c>
      <c r="AB212" t="s">
        <v>1017</v>
      </c>
      <c r="AC212" t="s">
        <v>1018</v>
      </c>
      <c r="AE212" t="s">
        <v>1019</v>
      </c>
      <c r="AH212" t="s">
        <v>673</v>
      </c>
      <c r="AI212" t="s">
        <v>674</v>
      </c>
      <c r="AJ212" t="s">
        <v>675</v>
      </c>
      <c r="AL212" t="s">
        <v>53</v>
      </c>
      <c r="AM212" t="s">
        <v>54</v>
      </c>
    </row>
    <row r="213" spans="1:39" x14ac:dyDescent="0.35">
      <c r="A213" t="s">
        <v>1020</v>
      </c>
      <c r="B213" t="s">
        <v>39</v>
      </c>
      <c r="C213" t="s">
        <v>41</v>
      </c>
      <c r="D213" t="s">
        <v>1020</v>
      </c>
      <c r="E213">
        <v>1139</v>
      </c>
      <c r="F213" t="s">
        <v>1021</v>
      </c>
      <c r="G213" t="s">
        <v>41</v>
      </c>
      <c r="H213" t="s">
        <v>140</v>
      </c>
      <c r="I213" t="s">
        <v>43</v>
      </c>
      <c r="J213" t="s">
        <v>1022</v>
      </c>
      <c r="K213" s="2">
        <v>45532</v>
      </c>
      <c r="L213" s="2">
        <v>45532</v>
      </c>
      <c r="M213" s="2">
        <v>45532.638680555552</v>
      </c>
      <c r="N213" t="s">
        <v>1023</v>
      </c>
      <c r="P213" t="s">
        <v>143</v>
      </c>
      <c r="R213" t="s">
        <v>1024</v>
      </c>
      <c r="S213" t="s">
        <v>145</v>
      </c>
      <c r="T213" t="s">
        <v>766</v>
      </c>
      <c r="U213" s="2">
        <v>45712</v>
      </c>
      <c r="V213" s="2">
        <v>46037</v>
      </c>
      <c r="X213" t="s">
        <v>386</v>
      </c>
      <c r="Y213" t="s">
        <v>387</v>
      </c>
      <c r="AA213" s="2">
        <v>45712.806875000002</v>
      </c>
      <c r="AB213" t="s">
        <v>78</v>
      </c>
      <c r="AC213" t="s">
        <v>1025</v>
      </c>
      <c r="AD213" t="b">
        <v>0</v>
      </c>
      <c r="AE213" t="s">
        <v>1026</v>
      </c>
      <c r="AH213" t="s">
        <v>1027</v>
      </c>
      <c r="AI213" t="s">
        <v>228</v>
      </c>
      <c r="AJ213" t="s">
        <v>771</v>
      </c>
      <c r="AK213" t="s">
        <v>771</v>
      </c>
      <c r="AL213" t="s">
        <v>53</v>
      </c>
      <c r="AM213" t="s">
        <v>54</v>
      </c>
    </row>
    <row r="214" spans="1:39" x14ac:dyDescent="0.35">
      <c r="A214" t="s">
        <v>1028</v>
      </c>
      <c r="B214" t="s">
        <v>39</v>
      </c>
      <c r="C214" t="s">
        <v>40</v>
      </c>
      <c r="D214" t="s">
        <v>1028</v>
      </c>
      <c r="F214" t="s">
        <v>702</v>
      </c>
      <c r="G214" t="s">
        <v>41</v>
      </c>
      <c r="H214" t="s">
        <v>42</v>
      </c>
      <c r="I214" t="s">
        <v>43</v>
      </c>
      <c r="J214" t="s">
        <v>1029</v>
      </c>
      <c r="K214" s="2">
        <v>45533</v>
      </c>
      <c r="L214" s="2">
        <v>45534</v>
      </c>
      <c r="M214" s="2">
        <v>45534.629675925928</v>
      </c>
      <c r="N214" t="s">
        <v>1030</v>
      </c>
      <c r="P214" t="s">
        <v>46</v>
      </c>
      <c r="S214" t="s">
        <v>145</v>
      </c>
      <c r="V214" s="2">
        <v>45534</v>
      </c>
      <c r="X214" t="s">
        <v>48</v>
      </c>
      <c r="Y214" t="s">
        <v>49</v>
      </c>
      <c r="AB214" t="s">
        <v>808</v>
      </c>
      <c r="AC214" t="s">
        <v>886</v>
      </c>
      <c r="AE214" t="s">
        <v>1031</v>
      </c>
      <c r="AH214" t="s">
        <v>673</v>
      </c>
      <c r="AI214" t="s">
        <v>674</v>
      </c>
      <c r="AJ214" t="s">
        <v>728</v>
      </c>
      <c r="AL214" t="s">
        <v>53</v>
      </c>
      <c r="AM214" t="s">
        <v>54</v>
      </c>
    </row>
    <row r="215" spans="1:39" x14ac:dyDescent="0.35">
      <c r="A215" t="s">
        <v>1032</v>
      </c>
      <c r="B215" t="s">
        <v>39</v>
      </c>
      <c r="C215" t="s">
        <v>40</v>
      </c>
      <c r="D215" t="s">
        <v>1032</v>
      </c>
      <c r="F215" t="s">
        <v>702</v>
      </c>
      <c r="G215" t="s">
        <v>41</v>
      </c>
      <c r="H215" t="s">
        <v>42</v>
      </c>
      <c r="I215" t="s">
        <v>43</v>
      </c>
      <c r="J215" t="s">
        <v>1033</v>
      </c>
      <c r="K215" s="2">
        <v>45534</v>
      </c>
      <c r="L215" s="2">
        <v>45537</v>
      </c>
      <c r="M215" s="2">
        <v>45538.64943287037</v>
      </c>
      <c r="N215" t="s">
        <v>1034</v>
      </c>
      <c r="P215" t="s">
        <v>46</v>
      </c>
      <c r="S215" t="s">
        <v>145</v>
      </c>
      <c r="V215" s="2">
        <v>45538</v>
      </c>
      <c r="X215" t="s">
        <v>48</v>
      </c>
      <c r="Y215" t="s">
        <v>65</v>
      </c>
      <c r="AB215" t="s">
        <v>59</v>
      </c>
      <c r="AC215" t="s">
        <v>975</v>
      </c>
      <c r="AE215" t="s">
        <v>1035</v>
      </c>
      <c r="AH215" t="s">
        <v>673</v>
      </c>
      <c r="AI215" t="s">
        <v>674</v>
      </c>
      <c r="AJ215" t="s">
        <v>728</v>
      </c>
      <c r="AL215" t="s">
        <v>53</v>
      </c>
      <c r="AM215" t="s">
        <v>54</v>
      </c>
    </row>
    <row r="216" spans="1:39" x14ac:dyDescent="0.35">
      <c r="A216" t="s">
        <v>1036</v>
      </c>
      <c r="B216" t="s">
        <v>39</v>
      </c>
      <c r="C216" t="s">
        <v>41</v>
      </c>
      <c r="D216" t="s">
        <v>1036</v>
      </c>
      <c r="E216">
        <v>1130</v>
      </c>
      <c r="F216" t="s">
        <v>1037</v>
      </c>
      <c r="G216" t="s">
        <v>41</v>
      </c>
      <c r="H216" t="s">
        <v>42</v>
      </c>
      <c r="I216" t="s">
        <v>43</v>
      </c>
      <c r="J216" t="s">
        <v>1038</v>
      </c>
      <c r="K216" s="2">
        <v>45539</v>
      </c>
      <c r="L216" s="2">
        <v>45539</v>
      </c>
      <c r="M216" s="2">
        <v>45539.593402777777</v>
      </c>
      <c r="N216" t="s">
        <v>1039</v>
      </c>
      <c r="P216" t="s">
        <v>46</v>
      </c>
      <c r="S216" t="s">
        <v>145</v>
      </c>
      <c r="V216" s="2">
        <v>45539</v>
      </c>
      <c r="X216" t="s">
        <v>94</v>
      </c>
      <c r="Y216" t="s">
        <v>162</v>
      </c>
      <c r="AB216" t="s">
        <v>474</v>
      </c>
      <c r="AC216" t="s">
        <v>316</v>
      </c>
      <c r="AE216" t="s">
        <v>1040</v>
      </c>
      <c r="AH216" t="s">
        <v>673</v>
      </c>
      <c r="AI216" t="s">
        <v>674</v>
      </c>
      <c r="AJ216" t="s">
        <v>728</v>
      </c>
      <c r="AL216" t="s">
        <v>53</v>
      </c>
      <c r="AM216" t="s">
        <v>54</v>
      </c>
    </row>
    <row r="217" spans="1:39" x14ac:dyDescent="0.35">
      <c r="A217" t="s">
        <v>1036</v>
      </c>
      <c r="B217" t="s">
        <v>39</v>
      </c>
      <c r="C217" t="s">
        <v>40</v>
      </c>
      <c r="D217" t="s">
        <v>1036</v>
      </c>
      <c r="F217" t="s">
        <v>704</v>
      </c>
      <c r="G217" t="s">
        <v>41</v>
      </c>
      <c r="H217" t="s">
        <v>42</v>
      </c>
      <c r="I217" t="s">
        <v>43</v>
      </c>
      <c r="J217" t="s">
        <v>1038</v>
      </c>
      <c r="K217" s="2">
        <v>45539</v>
      </c>
      <c r="L217" s="2">
        <v>45539</v>
      </c>
      <c r="M217" s="2">
        <v>45539.593402777777</v>
      </c>
      <c r="N217" t="s">
        <v>1039</v>
      </c>
      <c r="P217" t="s">
        <v>46</v>
      </c>
      <c r="S217" t="s">
        <v>145</v>
      </c>
      <c r="V217" s="2">
        <v>45539</v>
      </c>
      <c r="X217" t="s">
        <v>94</v>
      </c>
      <c r="Y217" t="s">
        <v>162</v>
      </c>
      <c r="AB217" t="s">
        <v>474</v>
      </c>
      <c r="AC217" t="s">
        <v>316</v>
      </c>
      <c r="AE217" t="s">
        <v>1040</v>
      </c>
      <c r="AH217" t="s">
        <v>673</v>
      </c>
      <c r="AI217" t="s">
        <v>674</v>
      </c>
      <c r="AJ217" t="s">
        <v>728</v>
      </c>
      <c r="AL217" t="s">
        <v>53</v>
      </c>
      <c r="AM217" t="s">
        <v>54</v>
      </c>
    </row>
    <row r="218" spans="1:39" x14ac:dyDescent="0.35">
      <c r="A218" t="s">
        <v>1041</v>
      </c>
      <c r="B218" t="s">
        <v>39</v>
      </c>
      <c r="C218" t="s">
        <v>41</v>
      </c>
      <c r="D218" t="s">
        <v>1041</v>
      </c>
      <c r="E218">
        <v>1362</v>
      </c>
      <c r="F218" t="s">
        <v>1042</v>
      </c>
      <c r="G218" t="s">
        <v>41</v>
      </c>
      <c r="H218" t="s">
        <v>42</v>
      </c>
      <c r="I218" t="s">
        <v>43</v>
      </c>
      <c r="J218" t="s">
        <v>1043</v>
      </c>
      <c r="K218" s="2">
        <v>45540</v>
      </c>
      <c r="L218" s="2">
        <v>45540</v>
      </c>
      <c r="M218" s="2">
        <v>45540.85796296296</v>
      </c>
      <c r="N218" t="s">
        <v>1044</v>
      </c>
      <c r="P218" t="s">
        <v>46</v>
      </c>
      <c r="S218" t="s">
        <v>145</v>
      </c>
      <c r="V218" s="2">
        <v>45540</v>
      </c>
      <c r="X218" t="s">
        <v>94</v>
      </c>
      <c r="Y218" t="s">
        <v>162</v>
      </c>
      <c r="AB218" t="s">
        <v>474</v>
      </c>
      <c r="AC218" t="s">
        <v>1045</v>
      </c>
      <c r="AE218" t="s">
        <v>1046</v>
      </c>
      <c r="AH218" t="s">
        <v>673</v>
      </c>
      <c r="AI218" t="s">
        <v>674</v>
      </c>
      <c r="AJ218" t="s">
        <v>728</v>
      </c>
      <c r="AL218" t="s">
        <v>53</v>
      </c>
      <c r="AM218" t="s">
        <v>54</v>
      </c>
    </row>
    <row r="219" spans="1:39" x14ac:dyDescent="0.35">
      <c r="A219" t="s">
        <v>1047</v>
      </c>
      <c r="B219" t="s">
        <v>39</v>
      </c>
      <c r="C219" t="s">
        <v>41</v>
      </c>
      <c r="D219" t="s">
        <v>1047</v>
      </c>
      <c r="E219">
        <v>1404</v>
      </c>
      <c r="F219" t="s">
        <v>796</v>
      </c>
      <c r="G219" t="s">
        <v>41</v>
      </c>
      <c r="H219" t="s">
        <v>42</v>
      </c>
      <c r="I219" t="s">
        <v>43</v>
      </c>
      <c r="J219" t="s">
        <v>1048</v>
      </c>
      <c r="K219" s="2">
        <v>45541</v>
      </c>
      <c r="L219" s="2">
        <v>45546</v>
      </c>
      <c r="M219" s="2">
        <v>45546.74318287037</v>
      </c>
      <c r="N219" t="s">
        <v>1049</v>
      </c>
      <c r="P219" t="s">
        <v>46</v>
      </c>
      <c r="S219" t="s">
        <v>145</v>
      </c>
      <c r="V219" s="2">
        <v>45546</v>
      </c>
      <c r="X219" t="s">
        <v>407</v>
      </c>
      <c r="Y219" t="s">
        <v>463</v>
      </c>
      <c r="AB219" t="s">
        <v>247</v>
      </c>
      <c r="AC219" t="s">
        <v>826</v>
      </c>
      <c r="AE219" t="s">
        <v>1050</v>
      </c>
      <c r="AH219" t="s">
        <v>673</v>
      </c>
      <c r="AI219" t="s">
        <v>674</v>
      </c>
      <c r="AJ219" t="s">
        <v>728</v>
      </c>
      <c r="AL219" t="s">
        <v>53</v>
      </c>
      <c r="AM219" t="s">
        <v>54</v>
      </c>
    </row>
    <row r="220" spans="1:39" x14ac:dyDescent="0.35">
      <c r="A220" t="s">
        <v>1051</v>
      </c>
      <c r="B220" t="s">
        <v>39</v>
      </c>
      <c r="C220" t="s">
        <v>40</v>
      </c>
      <c r="D220" t="s">
        <v>1051</v>
      </c>
      <c r="F220" t="s">
        <v>702</v>
      </c>
      <c r="G220" t="s">
        <v>41</v>
      </c>
      <c r="H220" t="s">
        <v>42</v>
      </c>
      <c r="I220" t="s">
        <v>43</v>
      </c>
      <c r="J220" t="s">
        <v>1052</v>
      </c>
      <c r="K220" s="2">
        <v>45572</v>
      </c>
      <c r="L220" s="2">
        <v>45572</v>
      </c>
      <c r="M220" s="2">
        <v>45572.735000000001</v>
      </c>
      <c r="N220" t="s">
        <v>1053</v>
      </c>
      <c r="P220" t="s">
        <v>46</v>
      </c>
      <c r="S220" t="s">
        <v>145</v>
      </c>
      <c r="V220" s="2">
        <v>45572</v>
      </c>
      <c r="X220" t="s">
        <v>94</v>
      </c>
      <c r="Y220" t="s">
        <v>754</v>
      </c>
      <c r="AB220" t="s">
        <v>78</v>
      </c>
      <c r="AC220" t="s">
        <v>618</v>
      </c>
      <c r="AE220" t="s">
        <v>1054</v>
      </c>
      <c r="AH220" t="s">
        <v>673</v>
      </c>
      <c r="AI220" t="s">
        <v>742</v>
      </c>
      <c r="AJ220" t="s">
        <v>743</v>
      </c>
      <c r="AL220" t="s">
        <v>53</v>
      </c>
      <c r="AM220" t="s">
        <v>54</v>
      </c>
    </row>
    <row r="221" spans="1:39" x14ac:dyDescent="0.35">
      <c r="A221" t="s">
        <v>1055</v>
      </c>
      <c r="B221" t="s">
        <v>39</v>
      </c>
      <c r="C221" t="s">
        <v>40</v>
      </c>
      <c r="D221" t="s">
        <v>1055</v>
      </c>
      <c r="F221" t="s">
        <v>702</v>
      </c>
      <c r="G221" t="s">
        <v>41</v>
      </c>
      <c r="H221" t="s">
        <v>42</v>
      </c>
      <c r="I221" t="s">
        <v>43</v>
      </c>
      <c r="J221" t="s">
        <v>1056</v>
      </c>
      <c r="K221" s="2">
        <v>45579</v>
      </c>
      <c r="L221" s="2">
        <v>45579</v>
      </c>
      <c r="M221" s="2">
        <v>45579.703263888892</v>
      </c>
      <c r="N221" t="s">
        <v>1057</v>
      </c>
      <c r="P221" t="s">
        <v>46</v>
      </c>
      <c r="S221" t="s">
        <v>145</v>
      </c>
      <c r="V221" s="2">
        <v>45579</v>
      </c>
      <c r="X221" t="s">
        <v>76</v>
      </c>
      <c r="Y221" t="s">
        <v>77</v>
      </c>
      <c r="AB221" t="s">
        <v>1058</v>
      </c>
      <c r="AC221" t="s">
        <v>886</v>
      </c>
      <c r="AE221" t="s">
        <v>1059</v>
      </c>
      <c r="AH221" t="s">
        <v>673</v>
      </c>
      <c r="AI221" t="s">
        <v>674</v>
      </c>
      <c r="AJ221" t="s">
        <v>734</v>
      </c>
      <c r="AL221" t="s">
        <v>53</v>
      </c>
      <c r="AM221" t="s">
        <v>54</v>
      </c>
    </row>
    <row r="222" spans="1:39" x14ac:dyDescent="0.35">
      <c r="A222" t="s">
        <v>1060</v>
      </c>
      <c r="B222" t="s">
        <v>39</v>
      </c>
      <c r="C222" t="s">
        <v>41</v>
      </c>
      <c r="D222" t="s">
        <v>1060</v>
      </c>
      <c r="E222" t="s">
        <v>1061</v>
      </c>
      <c r="F222" t="s">
        <v>1062</v>
      </c>
      <c r="G222" t="s">
        <v>41</v>
      </c>
      <c r="H222" t="s">
        <v>42</v>
      </c>
      <c r="I222" t="s">
        <v>43</v>
      </c>
      <c r="J222" t="s">
        <v>1063</v>
      </c>
      <c r="K222" s="2">
        <v>45512</v>
      </c>
      <c r="L222" s="2">
        <v>45587</v>
      </c>
      <c r="M222" s="2">
        <v>45608.543645833335</v>
      </c>
      <c r="N222" t="s">
        <v>1064</v>
      </c>
      <c r="P222" t="s">
        <v>46</v>
      </c>
      <c r="S222" t="s">
        <v>145</v>
      </c>
      <c r="V222" s="2">
        <v>45587</v>
      </c>
      <c r="X222" t="s">
        <v>48</v>
      </c>
      <c r="Y222" t="s">
        <v>65</v>
      </c>
      <c r="AB222" t="s">
        <v>59</v>
      </c>
      <c r="AC222" t="s">
        <v>1065</v>
      </c>
      <c r="AE222" t="s">
        <v>1066</v>
      </c>
      <c r="AH222" t="s">
        <v>673</v>
      </c>
      <c r="AI222" t="s">
        <v>674</v>
      </c>
      <c r="AJ222" t="s">
        <v>701</v>
      </c>
      <c r="AL222" t="s">
        <v>53</v>
      </c>
      <c r="AM222" t="s">
        <v>54</v>
      </c>
    </row>
    <row r="223" spans="1:39" x14ac:dyDescent="0.35">
      <c r="A223" t="s">
        <v>1067</v>
      </c>
      <c r="B223" t="s">
        <v>39</v>
      </c>
      <c r="C223" t="s">
        <v>40</v>
      </c>
      <c r="D223" t="s">
        <v>1067</v>
      </c>
      <c r="F223" t="s">
        <v>702</v>
      </c>
      <c r="G223" t="s">
        <v>41</v>
      </c>
      <c r="H223" t="s">
        <v>42</v>
      </c>
      <c r="I223" t="s">
        <v>43</v>
      </c>
      <c r="J223" t="s">
        <v>1068</v>
      </c>
      <c r="K223" s="2">
        <v>45588</v>
      </c>
      <c r="L223" s="2">
        <v>45589</v>
      </c>
      <c r="M223" s="2">
        <v>45589.58184027778</v>
      </c>
      <c r="N223" t="s">
        <v>1069</v>
      </c>
      <c r="P223" t="s">
        <v>46</v>
      </c>
      <c r="S223" t="s">
        <v>145</v>
      </c>
      <c r="V223" s="2">
        <v>45589</v>
      </c>
      <c r="X223" t="s">
        <v>48</v>
      </c>
      <c r="Y223" t="s">
        <v>49</v>
      </c>
      <c r="AB223" t="s">
        <v>1070</v>
      </c>
      <c r="AC223" t="s">
        <v>886</v>
      </c>
      <c r="AE223" t="s">
        <v>1071</v>
      </c>
      <c r="AH223" t="s">
        <v>673</v>
      </c>
      <c r="AI223" t="s">
        <v>674</v>
      </c>
      <c r="AJ223" t="s">
        <v>728</v>
      </c>
      <c r="AL223" t="s">
        <v>53</v>
      </c>
      <c r="AM223" t="s">
        <v>54</v>
      </c>
    </row>
    <row r="224" spans="1:39" x14ac:dyDescent="0.35">
      <c r="A224" t="s">
        <v>1072</v>
      </c>
      <c r="B224" t="s">
        <v>39</v>
      </c>
      <c r="C224" t="s">
        <v>40</v>
      </c>
      <c r="D224" t="s">
        <v>1072</v>
      </c>
      <c r="F224" t="s">
        <v>1073</v>
      </c>
      <c r="G224" t="s">
        <v>41</v>
      </c>
      <c r="H224" t="s">
        <v>224</v>
      </c>
      <c r="I224" t="s">
        <v>43</v>
      </c>
      <c r="J224" t="s">
        <v>1074</v>
      </c>
      <c r="K224" s="2">
        <v>45590</v>
      </c>
      <c r="L224" s="2">
        <v>45594</v>
      </c>
      <c r="M224" s="2">
        <v>45595.744699074072</v>
      </c>
      <c r="N224" t="s">
        <v>1075</v>
      </c>
      <c r="P224" t="s">
        <v>143</v>
      </c>
      <c r="R224" t="s">
        <v>1076</v>
      </c>
      <c r="S224" t="s">
        <v>630</v>
      </c>
      <c r="U224" s="2">
        <v>45715</v>
      </c>
      <c r="V224" s="2">
        <v>46006</v>
      </c>
      <c r="X224" t="s">
        <v>48</v>
      </c>
      <c r="Y224" t="s">
        <v>65</v>
      </c>
      <c r="AA224" s="2">
        <v>45715.705775462964</v>
      </c>
      <c r="AB224" t="s">
        <v>469</v>
      </c>
      <c r="AC224" t="s">
        <v>1077</v>
      </c>
      <c r="AD224" t="b">
        <v>0</v>
      </c>
      <c r="AE224" t="s">
        <v>1078</v>
      </c>
      <c r="AH224" t="s">
        <v>1079</v>
      </c>
      <c r="AI224" t="s">
        <v>674</v>
      </c>
      <c r="AJ224" t="s">
        <v>675</v>
      </c>
      <c r="AK224" t="s">
        <v>1080</v>
      </c>
      <c r="AL224" t="s">
        <v>53</v>
      </c>
      <c r="AM224" t="s">
        <v>54</v>
      </c>
    </row>
    <row r="225" spans="1:39" x14ac:dyDescent="0.35">
      <c r="A225" t="s">
        <v>1081</v>
      </c>
      <c r="B225" t="s">
        <v>39</v>
      </c>
      <c r="C225" t="s">
        <v>40</v>
      </c>
      <c r="D225" t="s">
        <v>1081</v>
      </c>
      <c r="F225" t="s">
        <v>704</v>
      </c>
      <c r="G225" t="s">
        <v>41</v>
      </c>
      <c r="H225" t="s">
        <v>42</v>
      </c>
      <c r="I225" t="s">
        <v>43</v>
      </c>
      <c r="J225" t="s">
        <v>1082</v>
      </c>
      <c r="K225" s="2">
        <v>45602</v>
      </c>
      <c r="L225" s="2">
        <v>45630</v>
      </c>
      <c r="M225" s="2">
        <v>45631.88449074074</v>
      </c>
      <c r="N225" t="s">
        <v>1083</v>
      </c>
      <c r="P225" t="s">
        <v>46</v>
      </c>
      <c r="S225" t="s">
        <v>145</v>
      </c>
      <c r="V225" s="2">
        <v>45631</v>
      </c>
      <c r="X225" t="s">
        <v>48</v>
      </c>
      <c r="Y225" t="s">
        <v>65</v>
      </c>
      <c r="AB225" t="s">
        <v>59</v>
      </c>
      <c r="AC225" t="s">
        <v>1084</v>
      </c>
      <c r="AE225" t="s">
        <v>1085</v>
      </c>
      <c r="AH225" t="s">
        <v>673</v>
      </c>
      <c r="AI225" t="s">
        <v>674</v>
      </c>
      <c r="AJ225" t="s">
        <v>728</v>
      </c>
      <c r="AL225" t="s">
        <v>53</v>
      </c>
      <c r="AM225" t="s">
        <v>54</v>
      </c>
    </row>
    <row r="226" spans="1:39" x14ac:dyDescent="0.35">
      <c r="A226" t="s">
        <v>1086</v>
      </c>
      <c r="B226" t="s">
        <v>39</v>
      </c>
      <c r="C226" t="s">
        <v>41</v>
      </c>
      <c r="D226" t="s">
        <v>1086</v>
      </c>
      <c r="E226" t="s">
        <v>1087</v>
      </c>
      <c r="F226" t="s">
        <v>1088</v>
      </c>
      <c r="G226" t="s">
        <v>41</v>
      </c>
      <c r="H226" t="s">
        <v>224</v>
      </c>
      <c r="I226" t="s">
        <v>1089</v>
      </c>
      <c r="J226" t="s">
        <v>1090</v>
      </c>
      <c r="K226" s="2">
        <v>45673</v>
      </c>
      <c r="L226" s="2">
        <v>45673</v>
      </c>
      <c r="M226" s="2">
        <v>45673.772650462961</v>
      </c>
      <c r="N226" t="s">
        <v>1091</v>
      </c>
      <c r="P226" t="s">
        <v>143</v>
      </c>
      <c r="R226" t="s">
        <v>1092</v>
      </c>
      <c r="S226" t="s">
        <v>145</v>
      </c>
      <c r="T226" t="s">
        <v>766</v>
      </c>
      <c r="U226" s="2">
        <v>45719</v>
      </c>
      <c r="X226" t="s">
        <v>94</v>
      </c>
      <c r="Y226" t="s">
        <v>754</v>
      </c>
      <c r="AA226" s="2">
        <v>45719.606712962966</v>
      </c>
      <c r="AB226" t="s">
        <v>474</v>
      </c>
      <c r="AC226" t="s">
        <v>975</v>
      </c>
      <c r="AD226" t="b">
        <v>0</v>
      </c>
      <c r="AE226" t="s">
        <v>1093</v>
      </c>
      <c r="AH226" t="s">
        <v>770</v>
      </c>
      <c r="AI226" t="s">
        <v>228</v>
      </c>
      <c r="AJ226" t="s">
        <v>771</v>
      </c>
      <c r="AK226" t="s">
        <v>771</v>
      </c>
      <c r="AL226" t="s">
        <v>53</v>
      </c>
      <c r="AM226" t="s">
        <v>54</v>
      </c>
    </row>
    <row r="227" spans="1:39" x14ac:dyDescent="0.35">
      <c r="A227" t="s">
        <v>1086</v>
      </c>
      <c r="B227" t="s">
        <v>39</v>
      </c>
      <c r="C227" t="s">
        <v>40</v>
      </c>
      <c r="D227" t="s">
        <v>1086</v>
      </c>
      <c r="E227">
        <v>83</v>
      </c>
      <c r="F227" t="s">
        <v>1094</v>
      </c>
      <c r="G227" t="s">
        <v>41</v>
      </c>
      <c r="H227" t="s">
        <v>224</v>
      </c>
      <c r="I227" t="s">
        <v>1089</v>
      </c>
      <c r="J227" t="s">
        <v>1090</v>
      </c>
      <c r="K227" s="2">
        <v>45673</v>
      </c>
      <c r="L227" s="2">
        <v>45673</v>
      </c>
      <c r="M227" s="2">
        <v>45673.772650462961</v>
      </c>
      <c r="N227" t="s">
        <v>1091</v>
      </c>
      <c r="P227" t="s">
        <v>143</v>
      </c>
      <c r="R227" t="s">
        <v>1092</v>
      </c>
      <c r="S227" t="s">
        <v>145</v>
      </c>
      <c r="T227" t="s">
        <v>766</v>
      </c>
      <c r="U227" s="2">
        <v>45719</v>
      </c>
      <c r="X227" t="s">
        <v>94</v>
      </c>
      <c r="Y227" t="s">
        <v>754</v>
      </c>
      <c r="AA227" s="2">
        <v>45719.606712962966</v>
      </c>
      <c r="AB227" t="s">
        <v>474</v>
      </c>
      <c r="AC227" t="s">
        <v>975</v>
      </c>
      <c r="AD227" t="b">
        <v>0</v>
      </c>
      <c r="AE227" t="s">
        <v>1093</v>
      </c>
      <c r="AH227" t="s">
        <v>770</v>
      </c>
      <c r="AI227" t="s">
        <v>228</v>
      </c>
      <c r="AJ227" t="s">
        <v>771</v>
      </c>
      <c r="AK227" t="s">
        <v>771</v>
      </c>
      <c r="AL227" t="s">
        <v>53</v>
      </c>
      <c r="AM227" t="s">
        <v>54</v>
      </c>
    </row>
    <row r="228" spans="1:39" x14ac:dyDescent="0.35">
      <c r="A228" t="s">
        <v>1095</v>
      </c>
      <c r="B228" t="s">
        <v>39</v>
      </c>
      <c r="C228" t="s">
        <v>40</v>
      </c>
      <c r="D228" t="s">
        <v>1095</v>
      </c>
      <c r="F228" t="s">
        <v>1096</v>
      </c>
      <c r="G228" t="s">
        <v>41</v>
      </c>
      <c r="H228" t="s">
        <v>224</v>
      </c>
      <c r="I228" t="s">
        <v>1089</v>
      </c>
      <c r="J228" t="s">
        <v>1097</v>
      </c>
      <c r="K228" s="2">
        <v>45681</v>
      </c>
      <c r="L228" s="2">
        <v>45681</v>
      </c>
      <c r="M228" s="2">
        <v>45684.803738425922</v>
      </c>
      <c r="N228" t="s">
        <v>1098</v>
      </c>
      <c r="P228" t="s">
        <v>143</v>
      </c>
      <c r="R228" t="s">
        <v>1099</v>
      </c>
      <c r="S228" t="s">
        <v>630</v>
      </c>
      <c r="U228" s="2">
        <v>45793</v>
      </c>
      <c r="X228" t="s">
        <v>48</v>
      </c>
      <c r="Y228" t="s">
        <v>1100</v>
      </c>
      <c r="AA228" s="2">
        <v>45793.701828703706</v>
      </c>
      <c r="AB228" t="s">
        <v>1101</v>
      </c>
      <c r="AC228" t="s">
        <v>1102</v>
      </c>
      <c r="AD228" t="b">
        <v>0</v>
      </c>
      <c r="AE228" t="s">
        <v>1103</v>
      </c>
      <c r="AH228" t="s">
        <v>1104</v>
      </c>
      <c r="AI228" t="s">
        <v>674</v>
      </c>
      <c r="AJ228" t="s">
        <v>728</v>
      </c>
      <c r="AK228" t="s">
        <v>743</v>
      </c>
      <c r="AL228" t="s">
        <v>53</v>
      </c>
      <c r="AM228" t="s">
        <v>54</v>
      </c>
    </row>
    <row r="229" spans="1:39" x14ac:dyDescent="0.35">
      <c r="A229" t="s">
        <v>1105</v>
      </c>
      <c r="B229" t="s">
        <v>39</v>
      </c>
      <c r="C229" t="s">
        <v>41</v>
      </c>
      <c r="D229" t="s">
        <v>1105</v>
      </c>
      <c r="E229" t="s">
        <v>1106</v>
      </c>
      <c r="F229" t="s">
        <v>1107</v>
      </c>
      <c r="G229" t="s">
        <v>41</v>
      </c>
      <c r="H229" t="s">
        <v>224</v>
      </c>
      <c r="I229" t="s">
        <v>1089</v>
      </c>
      <c r="J229" t="s">
        <v>1108</v>
      </c>
      <c r="K229" s="2">
        <v>45602</v>
      </c>
      <c r="L229" s="2">
        <v>45681</v>
      </c>
      <c r="M229" s="2">
        <v>45681.874525462961</v>
      </c>
      <c r="N229" t="s">
        <v>1109</v>
      </c>
      <c r="P229" t="s">
        <v>143</v>
      </c>
      <c r="Q229" s="3">
        <v>46203</v>
      </c>
      <c r="R229" t="s">
        <v>1110</v>
      </c>
      <c r="S229" t="s">
        <v>630</v>
      </c>
      <c r="U229" s="2">
        <v>46008</v>
      </c>
      <c r="X229" t="s">
        <v>407</v>
      </c>
      <c r="Y229" t="s">
        <v>1111</v>
      </c>
      <c r="AA229" s="2">
        <v>46008.982997685183</v>
      </c>
      <c r="AB229" t="s">
        <v>247</v>
      </c>
      <c r="AC229" t="s">
        <v>1112</v>
      </c>
      <c r="AD229" t="b">
        <v>0</v>
      </c>
      <c r="AE229" t="s">
        <v>1113</v>
      </c>
      <c r="AH229" t="s">
        <v>1114</v>
      </c>
      <c r="AI229" t="s">
        <v>800</v>
      </c>
      <c r="AJ229" t="s">
        <v>801</v>
      </c>
      <c r="AK229" t="s">
        <v>1115</v>
      </c>
      <c r="AL229" t="s">
        <v>53</v>
      </c>
      <c r="AM229" t="s">
        <v>54</v>
      </c>
    </row>
    <row r="230" spans="1:39" x14ac:dyDescent="0.35">
      <c r="A230" t="s">
        <v>1105</v>
      </c>
      <c r="B230" t="s">
        <v>39</v>
      </c>
      <c r="C230" t="s">
        <v>40</v>
      </c>
      <c r="D230" t="s">
        <v>1105</v>
      </c>
      <c r="F230" t="s">
        <v>847</v>
      </c>
      <c r="G230" t="s">
        <v>41</v>
      </c>
      <c r="H230" t="s">
        <v>224</v>
      </c>
      <c r="I230" t="s">
        <v>1089</v>
      </c>
      <c r="J230" t="s">
        <v>1108</v>
      </c>
      <c r="K230" s="2">
        <v>45602</v>
      </c>
      <c r="L230" s="2">
        <v>45681</v>
      </c>
      <c r="M230" s="2">
        <v>45681.874525462961</v>
      </c>
      <c r="N230" t="s">
        <v>1109</v>
      </c>
      <c r="P230" t="s">
        <v>143</v>
      </c>
      <c r="Q230" s="3">
        <v>46203</v>
      </c>
      <c r="R230" t="s">
        <v>1110</v>
      </c>
      <c r="S230" t="s">
        <v>630</v>
      </c>
      <c r="U230" s="2">
        <v>46008</v>
      </c>
      <c r="X230" t="s">
        <v>407</v>
      </c>
      <c r="Y230" t="s">
        <v>1111</v>
      </c>
      <c r="AA230" s="2">
        <v>46008.982997685183</v>
      </c>
      <c r="AB230" t="s">
        <v>247</v>
      </c>
      <c r="AC230" t="s">
        <v>1112</v>
      </c>
      <c r="AD230" t="b">
        <v>0</v>
      </c>
      <c r="AE230" t="s">
        <v>1113</v>
      </c>
      <c r="AH230" t="s">
        <v>1114</v>
      </c>
      <c r="AI230" t="s">
        <v>800</v>
      </c>
      <c r="AJ230" t="s">
        <v>801</v>
      </c>
      <c r="AK230" t="s">
        <v>1115</v>
      </c>
      <c r="AL230" t="s">
        <v>53</v>
      </c>
      <c r="AM230" t="s">
        <v>54</v>
      </c>
    </row>
    <row r="231" spans="1:39" x14ac:dyDescent="0.35">
      <c r="A231" t="s">
        <v>1116</v>
      </c>
      <c r="B231" t="s">
        <v>39</v>
      </c>
      <c r="C231" t="s">
        <v>40</v>
      </c>
      <c r="D231" t="s">
        <v>1116</v>
      </c>
      <c r="F231" t="s">
        <v>704</v>
      </c>
      <c r="G231" t="s">
        <v>41</v>
      </c>
      <c r="H231" t="s">
        <v>42</v>
      </c>
      <c r="I231" t="s">
        <v>43</v>
      </c>
      <c r="J231" t="s">
        <v>1117</v>
      </c>
      <c r="K231" s="2">
        <v>45672</v>
      </c>
      <c r="L231" s="2">
        <v>45687</v>
      </c>
      <c r="M231" s="2">
        <v>45688.679710648146</v>
      </c>
      <c r="N231" t="s">
        <v>1118</v>
      </c>
      <c r="P231" t="s">
        <v>46</v>
      </c>
      <c r="S231" t="s">
        <v>145</v>
      </c>
      <c r="V231" s="2">
        <v>45688</v>
      </c>
      <c r="X231" t="s">
        <v>120</v>
      </c>
      <c r="Y231" t="s">
        <v>536</v>
      </c>
      <c r="AB231" t="s">
        <v>837</v>
      </c>
      <c r="AC231" t="s">
        <v>905</v>
      </c>
      <c r="AE231" t="s">
        <v>1119</v>
      </c>
      <c r="AH231" t="s">
        <v>673</v>
      </c>
      <c r="AI231" t="s">
        <v>674</v>
      </c>
      <c r="AJ231" t="s">
        <v>734</v>
      </c>
      <c r="AL231" t="s">
        <v>53</v>
      </c>
      <c r="AM231" t="s">
        <v>54</v>
      </c>
    </row>
    <row r="232" spans="1:39" x14ac:dyDescent="0.35">
      <c r="A232" t="s">
        <v>1120</v>
      </c>
      <c r="B232" t="s">
        <v>39</v>
      </c>
      <c r="C232" t="s">
        <v>41</v>
      </c>
      <c r="D232" t="s">
        <v>1120</v>
      </c>
      <c r="E232" t="s">
        <v>1121</v>
      </c>
      <c r="F232" t="s">
        <v>1122</v>
      </c>
      <c r="G232" t="s">
        <v>41</v>
      </c>
      <c r="H232" t="s">
        <v>224</v>
      </c>
      <c r="I232" t="s">
        <v>43</v>
      </c>
      <c r="J232" t="s">
        <v>1123</v>
      </c>
      <c r="K232" s="2">
        <v>45702</v>
      </c>
      <c r="L232" s="2">
        <v>45702</v>
      </c>
      <c r="M232" s="2">
        <v>45702.929039351853</v>
      </c>
      <c r="N232" t="s">
        <v>1124</v>
      </c>
      <c r="P232" t="s">
        <v>143</v>
      </c>
      <c r="R232" t="s">
        <v>1125</v>
      </c>
      <c r="S232" t="s">
        <v>145</v>
      </c>
      <c r="T232" t="s">
        <v>1126</v>
      </c>
      <c r="U232" s="2">
        <v>45747</v>
      </c>
      <c r="V232" s="2">
        <v>46006</v>
      </c>
      <c r="X232" t="s">
        <v>1127</v>
      </c>
      <c r="Y232" t="s">
        <v>1128</v>
      </c>
      <c r="AA232" s="2">
        <v>45750.003020833334</v>
      </c>
      <c r="AB232" t="s">
        <v>1129</v>
      </c>
      <c r="AC232" t="s">
        <v>1130</v>
      </c>
      <c r="AD232" t="b">
        <v>0</v>
      </c>
      <c r="AE232" t="s">
        <v>1131</v>
      </c>
      <c r="AH232" t="s">
        <v>1132</v>
      </c>
      <c r="AI232" t="s">
        <v>674</v>
      </c>
      <c r="AJ232" t="s">
        <v>701</v>
      </c>
      <c r="AK232" t="s">
        <v>1133</v>
      </c>
      <c r="AL232" t="s">
        <v>53</v>
      </c>
      <c r="AM232" t="s">
        <v>54</v>
      </c>
    </row>
    <row r="233" spans="1:39" x14ac:dyDescent="0.35">
      <c r="A233" t="s">
        <v>1134</v>
      </c>
      <c r="B233" t="s">
        <v>39</v>
      </c>
      <c r="C233" t="s">
        <v>40</v>
      </c>
      <c r="D233" t="s">
        <v>1134</v>
      </c>
      <c r="F233" t="s">
        <v>702</v>
      </c>
      <c r="G233" t="s">
        <v>41</v>
      </c>
      <c r="H233" t="s">
        <v>42</v>
      </c>
      <c r="I233" t="s">
        <v>43</v>
      </c>
      <c r="J233" t="s">
        <v>1068</v>
      </c>
      <c r="K233" s="2">
        <v>45737</v>
      </c>
      <c r="L233" s="2">
        <v>45741</v>
      </c>
      <c r="M233" s="2">
        <v>45741.630162037036</v>
      </c>
      <c r="N233" t="s">
        <v>1135</v>
      </c>
      <c r="P233" t="s">
        <v>46</v>
      </c>
      <c r="S233" t="s">
        <v>145</v>
      </c>
      <c r="V233" s="2">
        <v>45741</v>
      </c>
      <c r="X233" t="s">
        <v>48</v>
      </c>
      <c r="Y233" t="s">
        <v>49</v>
      </c>
      <c r="AB233" t="s">
        <v>59</v>
      </c>
      <c r="AC233" t="s">
        <v>886</v>
      </c>
      <c r="AE233" t="s">
        <v>1071</v>
      </c>
      <c r="AH233" t="s">
        <v>673</v>
      </c>
      <c r="AI233" t="s">
        <v>674</v>
      </c>
      <c r="AJ233" t="s">
        <v>728</v>
      </c>
      <c r="AL233" t="s">
        <v>53</v>
      </c>
      <c r="AM233" t="s">
        <v>54</v>
      </c>
    </row>
    <row r="234" spans="1:39" x14ac:dyDescent="0.35">
      <c r="A234" t="s">
        <v>1136</v>
      </c>
      <c r="B234" t="s">
        <v>39</v>
      </c>
      <c r="C234" t="s">
        <v>41</v>
      </c>
      <c r="D234" t="s">
        <v>1136</v>
      </c>
      <c r="E234">
        <v>1233</v>
      </c>
      <c r="F234" t="s">
        <v>1137</v>
      </c>
      <c r="G234" t="s">
        <v>41</v>
      </c>
      <c r="H234" t="s">
        <v>42</v>
      </c>
      <c r="I234" t="s">
        <v>43</v>
      </c>
      <c r="J234" t="s">
        <v>1138</v>
      </c>
      <c r="K234" s="2">
        <v>45749</v>
      </c>
      <c r="L234" s="2">
        <v>45749</v>
      </c>
      <c r="M234" s="2">
        <v>45749.542395833334</v>
      </c>
      <c r="N234" t="s">
        <v>1139</v>
      </c>
      <c r="P234" t="s">
        <v>46</v>
      </c>
      <c r="S234" t="s">
        <v>145</v>
      </c>
      <c r="V234" s="2">
        <v>45749</v>
      </c>
      <c r="X234" t="s">
        <v>236</v>
      </c>
      <c r="Y234" t="s">
        <v>237</v>
      </c>
      <c r="AB234" t="s">
        <v>1140</v>
      </c>
      <c r="AC234" t="s">
        <v>85</v>
      </c>
      <c r="AE234" t="s">
        <v>1141</v>
      </c>
      <c r="AH234" t="s">
        <v>673</v>
      </c>
      <c r="AI234" t="s">
        <v>674</v>
      </c>
      <c r="AJ234" t="s">
        <v>728</v>
      </c>
      <c r="AL234" t="s">
        <v>53</v>
      </c>
      <c r="AM234" t="s">
        <v>54</v>
      </c>
    </row>
    <row r="235" spans="1:39" x14ac:dyDescent="0.35">
      <c r="A235" t="s">
        <v>1142</v>
      </c>
      <c r="B235" t="s">
        <v>39</v>
      </c>
      <c r="C235" t="s">
        <v>41</v>
      </c>
      <c r="D235" t="s">
        <v>1142</v>
      </c>
      <c r="E235">
        <v>1335</v>
      </c>
      <c r="F235" t="s">
        <v>1143</v>
      </c>
      <c r="G235" t="s">
        <v>41</v>
      </c>
      <c r="H235" t="s">
        <v>224</v>
      </c>
      <c r="I235" t="s">
        <v>1089</v>
      </c>
      <c r="J235" t="s">
        <v>1144</v>
      </c>
      <c r="K235" s="2">
        <v>45775</v>
      </c>
      <c r="L235" s="2">
        <v>45775</v>
      </c>
      <c r="M235" s="2">
        <v>45776.669652777775</v>
      </c>
      <c r="N235" t="s">
        <v>1145</v>
      </c>
      <c r="P235" t="s">
        <v>143</v>
      </c>
      <c r="R235" t="s">
        <v>1146</v>
      </c>
      <c r="S235" t="s">
        <v>145</v>
      </c>
      <c r="T235" t="s">
        <v>1147</v>
      </c>
      <c r="U235" s="2">
        <v>45896</v>
      </c>
      <c r="X235" t="s">
        <v>187</v>
      </c>
      <c r="Y235" t="s">
        <v>193</v>
      </c>
      <c r="AA235" s="2">
        <v>45897.128981481481</v>
      </c>
      <c r="AB235" t="s">
        <v>709</v>
      </c>
      <c r="AC235" t="s">
        <v>975</v>
      </c>
      <c r="AD235" t="b">
        <v>0</v>
      </c>
      <c r="AE235" t="s">
        <v>1148</v>
      </c>
      <c r="AH235" t="s">
        <v>1149</v>
      </c>
      <c r="AI235" t="s">
        <v>1150</v>
      </c>
      <c r="AJ235" t="s">
        <v>1151</v>
      </c>
      <c r="AK235" t="s">
        <v>1152</v>
      </c>
      <c r="AL235" t="s">
        <v>53</v>
      </c>
      <c r="AM235" t="s">
        <v>54</v>
      </c>
    </row>
    <row r="236" spans="1:39" x14ac:dyDescent="0.35">
      <c r="A236" t="s">
        <v>1153</v>
      </c>
      <c r="B236" t="s">
        <v>39</v>
      </c>
      <c r="C236" t="s">
        <v>41</v>
      </c>
      <c r="D236" t="s">
        <v>1153</v>
      </c>
      <c r="E236">
        <v>1344</v>
      </c>
      <c r="F236" t="s">
        <v>1154</v>
      </c>
      <c r="G236" t="s">
        <v>41</v>
      </c>
      <c r="H236" t="s">
        <v>42</v>
      </c>
      <c r="I236" t="s">
        <v>43</v>
      </c>
      <c r="J236" t="s">
        <v>1155</v>
      </c>
      <c r="K236" s="2">
        <v>45776</v>
      </c>
      <c r="L236" s="2">
        <v>45777</v>
      </c>
      <c r="M236" s="2">
        <v>45777.638449074075</v>
      </c>
      <c r="N236" t="s">
        <v>1156</v>
      </c>
      <c r="P236" t="s">
        <v>46</v>
      </c>
      <c r="S236" t="s">
        <v>145</v>
      </c>
      <c r="V236" s="2">
        <v>45777</v>
      </c>
      <c r="X236" t="s">
        <v>407</v>
      </c>
      <c r="Y236" t="s">
        <v>463</v>
      </c>
      <c r="AB236" t="s">
        <v>247</v>
      </c>
      <c r="AC236" t="s">
        <v>286</v>
      </c>
      <c r="AE236" t="s">
        <v>1157</v>
      </c>
      <c r="AH236" t="s">
        <v>673</v>
      </c>
      <c r="AI236" t="s">
        <v>674</v>
      </c>
      <c r="AJ236" t="s">
        <v>682</v>
      </c>
      <c r="AL236" t="s">
        <v>53</v>
      </c>
      <c r="AM236" t="s">
        <v>54</v>
      </c>
    </row>
    <row r="237" spans="1:39" x14ac:dyDescent="0.35">
      <c r="A237" t="s">
        <v>1158</v>
      </c>
      <c r="B237" t="s">
        <v>39</v>
      </c>
      <c r="C237" t="s">
        <v>41</v>
      </c>
      <c r="D237" t="s">
        <v>1158</v>
      </c>
      <c r="E237">
        <v>1005</v>
      </c>
      <c r="F237" t="s">
        <v>922</v>
      </c>
      <c r="G237" t="s">
        <v>41</v>
      </c>
      <c r="H237" t="s">
        <v>42</v>
      </c>
      <c r="I237" t="s">
        <v>43</v>
      </c>
      <c r="J237" t="s">
        <v>1159</v>
      </c>
      <c r="K237" s="2">
        <v>45776</v>
      </c>
      <c r="L237" s="2">
        <v>45777</v>
      </c>
      <c r="M237" s="2">
        <v>45778.57640046296</v>
      </c>
      <c r="N237" t="s">
        <v>1160</v>
      </c>
      <c r="P237" t="s">
        <v>46</v>
      </c>
      <c r="S237" t="s">
        <v>145</v>
      </c>
      <c r="V237" s="2">
        <v>45778</v>
      </c>
      <c r="X237" t="s">
        <v>1161</v>
      </c>
      <c r="Y237" t="s">
        <v>1162</v>
      </c>
      <c r="AB237" t="s">
        <v>455</v>
      </c>
      <c r="AC237" t="s">
        <v>1084</v>
      </c>
      <c r="AE237" t="s">
        <v>1163</v>
      </c>
      <c r="AH237" t="s">
        <v>673</v>
      </c>
      <c r="AI237" t="s">
        <v>674</v>
      </c>
      <c r="AJ237" t="s">
        <v>728</v>
      </c>
      <c r="AL237" t="s">
        <v>53</v>
      </c>
      <c r="AM237" t="s">
        <v>54</v>
      </c>
    </row>
    <row r="238" spans="1:39" x14ac:dyDescent="0.35">
      <c r="A238" t="s">
        <v>1158</v>
      </c>
      <c r="B238" t="s">
        <v>39</v>
      </c>
      <c r="C238" t="s">
        <v>40</v>
      </c>
      <c r="D238" t="s">
        <v>1158</v>
      </c>
      <c r="F238" t="s">
        <v>704</v>
      </c>
      <c r="G238" t="s">
        <v>41</v>
      </c>
      <c r="H238" t="s">
        <v>42</v>
      </c>
      <c r="I238" t="s">
        <v>43</v>
      </c>
      <c r="J238" t="s">
        <v>1159</v>
      </c>
      <c r="K238" s="2">
        <v>45776</v>
      </c>
      <c r="L238" s="2">
        <v>45777</v>
      </c>
      <c r="M238" s="2">
        <v>45778.57640046296</v>
      </c>
      <c r="N238" t="s">
        <v>1160</v>
      </c>
      <c r="P238" t="s">
        <v>46</v>
      </c>
      <c r="S238" t="s">
        <v>145</v>
      </c>
      <c r="V238" s="2">
        <v>45778</v>
      </c>
      <c r="X238" t="s">
        <v>1161</v>
      </c>
      <c r="Y238" t="s">
        <v>1162</v>
      </c>
      <c r="AB238" t="s">
        <v>455</v>
      </c>
      <c r="AC238" t="s">
        <v>1084</v>
      </c>
      <c r="AE238" t="s">
        <v>1163</v>
      </c>
      <c r="AH238" t="s">
        <v>673</v>
      </c>
      <c r="AI238" t="s">
        <v>674</v>
      </c>
      <c r="AJ238" t="s">
        <v>728</v>
      </c>
      <c r="AL238" t="s">
        <v>53</v>
      </c>
      <c r="AM238" t="s">
        <v>54</v>
      </c>
    </row>
    <row r="239" spans="1:39" x14ac:dyDescent="0.35">
      <c r="A239" t="s">
        <v>1164</v>
      </c>
      <c r="B239" t="s">
        <v>39</v>
      </c>
      <c r="C239" t="s">
        <v>41</v>
      </c>
      <c r="D239" t="s">
        <v>1164</v>
      </c>
      <c r="E239" t="s">
        <v>1165</v>
      </c>
      <c r="F239" t="s">
        <v>1166</v>
      </c>
      <c r="G239" t="s">
        <v>41</v>
      </c>
      <c r="H239" t="s">
        <v>42</v>
      </c>
      <c r="I239" t="s">
        <v>43</v>
      </c>
      <c r="J239" t="s">
        <v>1167</v>
      </c>
      <c r="K239" s="2">
        <v>45776</v>
      </c>
      <c r="L239" s="2">
        <v>45779</v>
      </c>
      <c r="M239" s="2">
        <v>45782.724999999999</v>
      </c>
      <c r="N239" t="s">
        <v>1168</v>
      </c>
      <c r="P239" t="s">
        <v>46</v>
      </c>
      <c r="S239" t="s">
        <v>145</v>
      </c>
      <c r="V239" s="2">
        <v>45782</v>
      </c>
      <c r="X239" t="s">
        <v>407</v>
      </c>
      <c r="Y239" t="s">
        <v>463</v>
      </c>
      <c r="AB239" t="s">
        <v>247</v>
      </c>
      <c r="AC239" t="s">
        <v>1169</v>
      </c>
      <c r="AE239" t="s">
        <v>1170</v>
      </c>
      <c r="AH239" t="s">
        <v>673</v>
      </c>
      <c r="AI239" t="s">
        <v>800</v>
      </c>
      <c r="AJ239" t="s">
        <v>801</v>
      </c>
      <c r="AL239" t="s">
        <v>53</v>
      </c>
      <c r="AM239" t="s">
        <v>54</v>
      </c>
    </row>
    <row r="240" spans="1:39" x14ac:dyDescent="0.35">
      <c r="A240" t="s">
        <v>1171</v>
      </c>
      <c r="B240" t="s">
        <v>39</v>
      </c>
      <c r="C240" t="s">
        <v>40</v>
      </c>
      <c r="D240" t="s">
        <v>1171</v>
      </c>
      <c r="F240" t="s">
        <v>1172</v>
      </c>
      <c r="G240" t="s">
        <v>41</v>
      </c>
      <c r="H240" t="s">
        <v>42</v>
      </c>
      <c r="I240" t="s">
        <v>43</v>
      </c>
      <c r="J240" t="s">
        <v>1173</v>
      </c>
      <c r="K240" s="2">
        <v>45715</v>
      </c>
      <c r="L240" s="2">
        <v>45783</v>
      </c>
      <c r="M240" s="2">
        <v>45783.535983796297</v>
      </c>
      <c r="N240" t="s">
        <v>1174</v>
      </c>
      <c r="P240" t="s">
        <v>46</v>
      </c>
      <c r="S240" t="s">
        <v>145</v>
      </c>
      <c r="V240" s="2">
        <v>45783</v>
      </c>
      <c r="X240" t="s">
        <v>94</v>
      </c>
      <c r="Y240" t="s">
        <v>162</v>
      </c>
      <c r="AB240" t="s">
        <v>474</v>
      </c>
      <c r="AC240" t="s">
        <v>316</v>
      </c>
      <c r="AE240" t="s">
        <v>1175</v>
      </c>
      <c r="AH240" t="s">
        <v>673</v>
      </c>
      <c r="AI240" t="s">
        <v>674</v>
      </c>
      <c r="AJ240" t="s">
        <v>734</v>
      </c>
      <c r="AL240" t="s">
        <v>53</v>
      </c>
      <c r="AM240" t="s">
        <v>54</v>
      </c>
    </row>
    <row r="241" spans="1:39" x14ac:dyDescent="0.35">
      <c r="A241" t="s">
        <v>1176</v>
      </c>
      <c r="B241" t="s">
        <v>39</v>
      </c>
      <c r="C241" t="s">
        <v>40</v>
      </c>
      <c r="D241" t="s">
        <v>1176</v>
      </c>
      <c r="F241" t="s">
        <v>854</v>
      </c>
      <c r="G241" t="s">
        <v>41</v>
      </c>
      <c r="H241" t="s">
        <v>42</v>
      </c>
      <c r="I241" t="s">
        <v>43</v>
      </c>
      <c r="J241" t="s">
        <v>1177</v>
      </c>
      <c r="K241" s="2">
        <v>45791</v>
      </c>
      <c r="L241" s="2">
        <v>45792</v>
      </c>
      <c r="M241" s="2">
        <v>45793.665092592593</v>
      </c>
      <c r="N241" t="s">
        <v>1178</v>
      </c>
      <c r="P241" t="s">
        <v>46</v>
      </c>
      <c r="S241" t="s">
        <v>145</v>
      </c>
      <c r="V241" s="2">
        <v>45793</v>
      </c>
      <c r="X241" t="s">
        <v>1179</v>
      </c>
      <c r="Y241" t="s">
        <v>1180</v>
      </c>
      <c r="AB241" t="s">
        <v>1181</v>
      </c>
      <c r="AC241" t="s">
        <v>1182</v>
      </c>
      <c r="AE241" t="s">
        <v>1183</v>
      </c>
      <c r="AH241" t="s">
        <v>673</v>
      </c>
      <c r="AI241" t="s">
        <v>674</v>
      </c>
      <c r="AJ241" t="s">
        <v>728</v>
      </c>
      <c r="AL241" t="s">
        <v>53</v>
      </c>
      <c r="AM241" t="s">
        <v>54</v>
      </c>
    </row>
    <row r="242" spans="1:39" x14ac:dyDescent="0.35">
      <c r="A242" t="s">
        <v>1184</v>
      </c>
      <c r="B242" t="s">
        <v>39</v>
      </c>
      <c r="C242" t="s">
        <v>41</v>
      </c>
      <c r="D242" t="s">
        <v>1184</v>
      </c>
      <c r="E242">
        <v>1036</v>
      </c>
      <c r="F242" t="s">
        <v>1185</v>
      </c>
      <c r="G242" t="s">
        <v>41</v>
      </c>
      <c r="H242" t="s">
        <v>42</v>
      </c>
      <c r="I242" t="s">
        <v>43</v>
      </c>
      <c r="J242" t="s">
        <v>1186</v>
      </c>
      <c r="K242" s="2">
        <v>45797</v>
      </c>
      <c r="L242" s="2">
        <v>45798</v>
      </c>
      <c r="M242" s="2">
        <v>45799.706388888888</v>
      </c>
      <c r="N242" t="s">
        <v>1187</v>
      </c>
      <c r="P242" t="s">
        <v>46</v>
      </c>
      <c r="S242" t="s">
        <v>145</v>
      </c>
      <c r="V242" s="2">
        <v>45799</v>
      </c>
      <c r="X242" t="s">
        <v>1179</v>
      </c>
      <c r="Y242" t="s">
        <v>1188</v>
      </c>
      <c r="AB242" t="s">
        <v>1189</v>
      </c>
      <c r="AC242" t="s">
        <v>1190</v>
      </c>
      <c r="AE242" t="s">
        <v>1191</v>
      </c>
      <c r="AH242" t="s">
        <v>673</v>
      </c>
      <c r="AI242" t="s">
        <v>674</v>
      </c>
      <c r="AJ242" t="s">
        <v>682</v>
      </c>
      <c r="AL242" t="s">
        <v>53</v>
      </c>
      <c r="AM242" t="s">
        <v>54</v>
      </c>
    </row>
    <row r="243" spans="1:39" x14ac:dyDescent="0.35">
      <c r="A243" t="s">
        <v>1184</v>
      </c>
      <c r="B243" t="s">
        <v>39</v>
      </c>
      <c r="C243" t="s">
        <v>40</v>
      </c>
      <c r="D243" t="s">
        <v>1184</v>
      </c>
      <c r="F243" t="s">
        <v>854</v>
      </c>
      <c r="G243" t="s">
        <v>41</v>
      </c>
      <c r="H243" t="s">
        <v>42</v>
      </c>
      <c r="I243" t="s">
        <v>43</v>
      </c>
      <c r="J243" t="s">
        <v>1186</v>
      </c>
      <c r="K243" s="2">
        <v>45797</v>
      </c>
      <c r="L243" s="2">
        <v>45798</v>
      </c>
      <c r="M243" s="2">
        <v>45799.706388888888</v>
      </c>
      <c r="N243" t="s">
        <v>1187</v>
      </c>
      <c r="P243" t="s">
        <v>46</v>
      </c>
      <c r="S243" t="s">
        <v>145</v>
      </c>
      <c r="V243" s="2">
        <v>45799</v>
      </c>
      <c r="X243" t="s">
        <v>1179</v>
      </c>
      <c r="Y243" t="s">
        <v>1188</v>
      </c>
      <c r="AB243" t="s">
        <v>1189</v>
      </c>
      <c r="AC243" t="s">
        <v>1190</v>
      </c>
      <c r="AE243" t="s">
        <v>1191</v>
      </c>
      <c r="AH243" t="s">
        <v>673</v>
      </c>
      <c r="AI243" t="s">
        <v>674</v>
      </c>
      <c r="AJ243" t="s">
        <v>682</v>
      </c>
      <c r="AL243" t="s">
        <v>53</v>
      </c>
      <c r="AM243" t="s">
        <v>54</v>
      </c>
    </row>
    <row r="244" spans="1:39" x14ac:dyDescent="0.35">
      <c r="A244" t="s">
        <v>1192</v>
      </c>
      <c r="B244" t="s">
        <v>39</v>
      </c>
      <c r="C244" t="s">
        <v>40</v>
      </c>
      <c r="D244" t="s">
        <v>1192</v>
      </c>
      <c r="F244" t="s">
        <v>704</v>
      </c>
      <c r="G244" t="s">
        <v>41</v>
      </c>
      <c r="H244" t="s">
        <v>42</v>
      </c>
      <c r="I244" t="s">
        <v>43</v>
      </c>
      <c r="J244" t="s">
        <v>1193</v>
      </c>
      <c r="K244" s="2">
        <v>45817</v>
      </c>
      <c r="L244" s="2">
        <v>45819</v>
      </c>
      <c r="M244" s="2">
        <v>45819.796516203707</v>
      </c>
      <c r="N244" t="s">
        <v>1194</v>
      </c>
      <c r="P244" t="s">
        <v>46</v>
      </c>
      <c r="S244" t="s">
        <v>145</v>
      </c>
      <c r="V244" s="2">
        <v>45819</v>
      </c>
      <c r="X244" t="s">
        <v>48</v>
      </c>
      <c r="Y244" t="s">
        <v>49</v>
      </c>
      <c r="AB244" t="s">
        <v>311</v>
      </c>
      <c r="AC244" t="s">
        <v>1182</v>
      </c>
      <c r="AE244" t="s">
        <v>1195</v>
      </c>
      <c r="AH244" t="s">
        <v>673</v>
      </c>
      <c r="AI244" t="s">
        <v>742</v>
      </c>
      <c r="AJ244" t="s">
        <v>743</v>
      </c>
      <c r="AL244" t="s">
        <v>53</v>
      </c>
      <c r="AM244" t="s">
        <v>54</v>
      </c>
    </row>
    <row r="245" spans="1:39" x14ac:dyDescent="0.35">
      <c r="A245" t="s">
        <v>1196</v>
      </c>
      <c r="B245" t="s">
        <v>39</v>
      </c>
      <c r="C245" t="s">
        <v>40</v>
      </c>
      <c r="D245" t="s">
        <v>1196</v>
      </c>
      <c r="F245" t="s">
        <v>702</v>
      </c>
      <c r="G245" t="s">
        <v>41</v>
      </c>
      <c r="H245" t="s">
        <v>42</v>
      </c>
      <c r="I245" t="s">
        <v>43</v>
      </c>
      <c r="J245" t="s">
        <v>1197</v>
      </c>
      <c r="K245" s="2">
        <v>45827</v>
      </c>
      <c r="L245" s="2">
        <v>45831</v>
      </c>
      <c r="M245" s="2">
        <v>45831.927303240744</v>
      </c>
      <c r="N245" t="s">
        <v>1198</v>
      </c>
      <c r="P245" t="s">
        <v>46</v>
      </c>
      <c r="S245" t="s">
        <v>145</v>
      </c>
      <c r="V245" s="2">
        <v>45831</v>
      </c>
      <c r="X245" t="s">
        <v>48</v>
      </c>
      <c r="Y245" t="s">
        <v>49</v>
      </c>
      <c r="AB245" t="s">
        <v>1070</v>
      </c>
      <c r="AC245" t="s">
        <v>886</v>
      </c>
      <c r="AE245" t="s">
        <v>1199</v>
      </c>
      <c r="AH245" t="s">
        <v>673</v>
      </c>
      <c r="AI245" t="s">
        <v>674</v>
      </c>
      <c r="AJ245" t="s">
        <v>728</v>
      </c>
      <c r="AL245" t="s">
        <v>53</v>
      </c>
      <c r="AM245" t="s">
        <v>54</v>
      </c>
    </row>
    <row r="246" spans="1:39" x14ac:dyDescent="0.35">
      <c r="A246" t="s">
        <v>1200</v>
      </c>
      <c r="B246" t="s">
        <v>39</v>
      </c>
      <c r="C246" t="s">
        <v>40</v>
      </c>
      <c r="D246" t="s">
        <v>1200</v>
      </c>
      <c r="F246" t="s">
        <v>1201</v>
      </c>
      <c r="G246" t="s">
        <v>41</v>
      </c>
      <c r="H246" t="s">
        <v>42</v>
      </c>
      <c r="I246" t="s">
        <v>43</v>
      </c>
      <c r="J246" t="s">
        <v>1202</v>
      </c>
      <c r="K246" s="2">
        <v>45833</v>
      </c>
      <c r="L246" s="2">
        <v>45833</v>
      </c>
      <c r="M246" s="2">
        <v>45833.728263888886</v>
      </c>
      <c r="N246" t="s">
        <v>1203</v>
      </c>
      <c r="P246" t="s">
        <v>46</v>
      </c>
      <c r="S246" t="s">
        <v>145</v>
      </c>
      <c r="V246" s="2">
        <v>45833</v>
      </c>
      <c r="X246" t="s">
        <v>94</v>
      </c>
      <c r="Y246" t="s">
        <v>162</v>
      </c>
      <c r="AB246" t="s">
        <v>474</v>
      </c>
      <c r="AC246" t="s">
        <v>1204</v>
      </c>
      <c r="AE246" t="s">
        <v>1205</v>
      </c>
      <c r="AH246" t="s">
        <v>673</v>
      </c>
      <c r="AI246" t="s">
        <v>674</v>
      </c>
      <c r="AJ246" t="s">
        <v>734</v>
      </c>
      <c r="AL246" t="s">
        <v>53</v>
      </c>
      <c r="AM246" t="s">
        <v>54</v>
      </c>
    </row>
    <row r="247" spans="1:39" x14ac:dyDescent="0.35">
      <c r="A247" t="s">
        <v>1206</v>
      </c>
      <c r="B247" t="s">
        <v>39</v>
      </c>
      <c r="C247" t="s">
        <v>40</v>
      </c>
      <c r="D247" t="s">
        <v>1206</v>
      </c>
      <c r="F247" t="s">
        <v>854</v>
      </c>
      <c r="G247" t="s">
        <v>41</v>
      </c>
      <c r="H247" t="s">
        <v>42</v>
      </c>
      <c r="I247" t="s">
        <v>43</v>
      </c>
      <c r="J247" t="s">
        <v>1207</v>
      </c>
      <c r="K247" s="2">
        <v>45834</v>
      </c>
      <c r="L247" s="2">
        <v>45838</v>
      </c>
      <c r="M247" s="2">
        <v>45838.842013888891</v>
      </c>
      <c r="N247" t="s">
        <v>1208</v>
      </c>
      <c r="P247" t="s">
        <v>46</v>
      </c>
      <c r="S247" t="s">
        <v>145</v>
      </c>
      <c r="V247" s="2">
        <v>45838</v>
      </c>
      <c r="X247" t="s">
        <v>467</v>
      </c>
      <c r="Y247" t="s">
        <v>1209</v>
      </c>
      <c r="AB247" t="s">
        <v>59</v>
      </c>
      <c r="AC247" t="s">
        <v>1182</v>
      </c>
      <c r="AE247" t="s">
        <v>1210</v>
      </c>
      <c r="AH247" t="s">
        <v>673</v>
      </c>
      <c r="AI247" t="s">
        <v>674</v>
      </c>
      <c r="AJ247" t="s">
        <v>728</v>
      </c>
      <c r="AL247" t="s">
        <v>53</v>
      </c>
      <c r="AM247" t="s">
        <v>54</v>
      </c>
    </row>
    <row r="248" spans="1:39" x14ac:dyDescent="0.35">
      <c r="A248" t="s">
        <v>1211</v>
      </c>
      <c r="B248" t="s">
        <v>39</v>
      </c>
      <c r="C248" t="s">
        <v>40</v>
      </c>
      <c r="D248" t="s">
        <v>1211</v>
      </c>
      <c r="F248" t="s">
        <v>1096</v>
      </c>
      <c r="G248" t="s">
        <v>41</v>
      </c>
      <c r="H248" t="s">
        <v>140</v>
      </c>
      <c r="I248" t="s">
        <v>1212</v>
      </c>
      <c r="J248" t="s">
        <v>1213</v>
      </c>
      <c r="K248" s="2">
        <v>45839</v>
      </c>
      <c r="L248" s="2">
        <v>45839</v>
      </c>
      <c r="M248" s="2">
        <v>45839.82953703704</v>
      </c>
      <c r="N248" t="s">
        <v>1214</v>
      </c>
      <c r="P248" t="s">
        <v>46</v>
      </c>
      <c r="X248" t="s">
        <v>147</v>
      </c>
      <c r="Y248" t="s">
        <v>148</v>
      </c>
      <c r="AB248" t="s">
        <v>474</v>
      </c>
      <c r="AC248" t="s">
        <v>1102</v>
      </c>
      <c r="AE248" t="s">
        <v>1215</v>
      </c>
      <c r="AL248" t="s">
        <v>53</v>
      </c>
      <c r="AM248" t="s">
        <v>54</v>
      </c>
    </row>
    <row r="249" spans="1:39" x14ac:dyDescent="0.35">
      <c r="A249" t="s">
        <v>1216</v>
      </c>
      <c r="B249" t="s">
        <v>39</v>
      </c>
      <c r="C249" t="s">
        <v>40</v>
      </c>
      <c r="D249" t="s">
        <v>1216</v>
      </c>
      <c r="F249" t="s">
        <v>704</v>
      </c>
      <c r="G249" t="s">
        <v>41</v>
      </c>
      <c r="H249" t="s">
        <v>42</v>
      </c>
      <c r="I249" t="s">
        <v>43</v>
      </c>
      <c r="J249" t="s">
        <v>1217</v>
      </c>
      <c r="K249" s="2">
        <v>45838</v>
      </c>
      <c r="L249" s="2">
        <v>45839</v>
      </c>
      <c r="M249" s="2">
        <v>45839.877083333333</v>
      </c>
      <c r="N249" t="s">
        <v>1218</v>
      </c>
      <c r="P249" t="s">
        <v>46</v>
      </c>
      <c r="S249" t="s">
        <v>145</v>
      </c>
      <c r="V249" s="2">
        <v>45839</v>
      </c>
      <c r="X249" t="s">
        <v>48</v>
      </c>
      <c r="Y249" t="s">
        <v>65</v>
      </c>
      <c r="AB249" t="s">
        <v>904</v>
      </c>
      <c r="AC249" t="s">
        <v>1219</v>
      </c>
      <c r="AE249" t="s">
        <v>1220</v>
      </c>
      <c r="AH249" t="s">
        <v>673</v>
      </c>
      <c r="AI249" t="s">
        <v>674</v>
      </c>
      <c r="AJ249" t="s">
        <v>728</v>
      </c>
      <c r="AL249" t="s">
        <v>53</v>
      </c>
      <c r="AM249" t="s">
        <v>54</v>
      </c>
    </row>
    <row r="250" spans="1:39" x14ac:dyDescent="0.35">
      <c r="A250" t="s">
        <v>1221</v>
      </c>
      <c r="B250" t="s">
        <v>39</v>
      </c>
      <c r="C250" t="s">
        <v>41</v>
      </c>
      <c r="D250" t="s">
        <v>1221</v>
      </c>
      <c r="E250" t="s">
        <v>1222</v>
      </c>
      <c r="F250" t="s">
        <v>1223</v>
      </c>
      <c r="G250" t="s">
        <v>41</v>
      </c>
      <c r="H250" t="s">
        <v>224</v>
      </c>
      <c r="I250" t="s">
        <v>1089</v>
      </c>
      <c r="J250" t="s">
        <v>1224</v>
      </c>
      <c r="K250" s="2">
        <v>45855</v>
      </c>
      <c r="L250" s="2">
        <v>45859</v>
      </c>
      <c r="M250" s="2">
        <v>45859.681597222225</v>
      </c>
      <c r="N250" t="s">
        <v>1225</v>
      </c>
      <c r="P250" t="s">
        <v>143</v>
      </c>
      <c r="R250" t="s">
        <v>1226</v>
      </c>
      <c r="S250" t="s">
        <v>145</v>
      </c>
      <c r="T250" t="s">
        <v>1126</v>
      </c>
      <c r="U250" s="2">
        <v>45930</v>
      </c>
      <c r="X250" t="s">
        <v>120</v>
      </c>
      <c r="Y250" t="s">
        <v>1227</v>
      </c>
      <c r="AA250" s="2">
        <v>45930.875104166669</v>
      </c>
      <c r="AB250" t="s">
        <v>78</v>
      </c>
      <c r="AC250" t="s">
        <v>1228</v>
      </c>
      <c r="AD250" t="b">
        <v>0</v>
      </c>
      <c r="AE250" t="s">
        <v>1229</v>
      </c>
      <c r="AH250" t="s">
        <v>1230</v>
      </c>
      <c r="AI250" t="s">
        <v>674</v>
      </c>
      <c r="AJ250" t="s">
        <v>675</v>
      </c>
      <c r="AK250" t="s">
        <v>1231</v>
      </c>
      <c r="AL250" t="s">
        <v>53</v>
      </c>
      <c r="AM250" t="s">
        <v>54</v>
      </c>
    </row>
    <row r="251" spans="1:39" x14ac:dyDescent="0.35">
      <c r="A251" t="s">
        <v>1232</v>
      </c>
      <c r="B251" t="s">
        <v>39</v>
      </c>
      <c r="C251" t="s">
        <v>41</v>
      </c>
      <c r="D251" t="s">
        <v>1232</v>
      </c>
      <c r="E251">
        <v>1233</v>
      </c>
      <c r="F251" t="s">
        <v>1137</v>
      </c>
      <c r="G251" t="s">
        <v>41</v>
      </c>
      <c r="H251" t="s">
        <v>42</v>
      </c>
      <c r="I251" t="s">
        <v>43</v>
      </c>
      <c r="J251" t="s">
        <v>1233</v>
      </c>
      <c r="K251" s="2">
        <v>45884</v>
      </c>
      <c r="L251" s="2">
        <v>45887</v>
      </c>
      <c r="M251" s="2">
        <v>45888.580497685187</v>
      </c>
      <c r="N251" t="s">
        <v>1234</v>
      </c>
      <c r="P251" t="s">
        <v>46</v>
      </c>
      <c r="S251" t="s">
        <v>145</v>
      </c>
      <c r="V251" s="2">
        <v>45888</v>
      </c>
      <c r="X251" t="s">
        <v>82</v>
      </c>
      <c r="Y251" t="s">
        <v>726</v>
      </c>
      <c r="AB251" t="s">
        <v>84</v>
      </c>
      <c r="AC251" t="s">
        <v>85</v>
      </c>
      <c r="AE251" t="s">
        <v>1235</v>
      </c>
      <c r="AH251" t="s">
        <v>673</v>
      </c>
      <c r="AI251" t="s">
        <v>674</v>
      </c>
      <c r="AJ251" t="s">
        <v>734</v>
      </c>
      <c r="AL251" t="s">
        <v>53</v>
      </c>
      <c r="AM251" t="s">
        <v>54</v>
      </c>
    </row>
    <row r="252" spans="1:39" x14ac:dyDescent="0.35">
      <c r="A252" t="s">
        <v>1236</v>
      </c>
      <c r="B252" t="s">
        <v>39</v>
      </c>
      <c r="C252" t="s">
        <v>40</v>
      </c>
      <c r="D252" t="s">
        <v>1236</v>
      </c>
      <c r="F252" t="s">
        <v>702</v>
      </c>
      <c r="G252" t="s">
        <v>41</v>
      </c>
      <c r="H252" t="s">
        <v>42</v>
      </c>
      <c r="I252" t="s">
        <v>43</v>
      </c>
      <c r="J252" s="1" t="s">
        <v>1237</v>
      </c>
      <c r="K252" s="2">
        <v>45894</v>
      </c>
      <c r="L252" s="2">
        <v>45894</v>
      </c>
      <c r="M252" s="2">
        <v>45895.685370370367</v>
      </c>
      <c r="N252" t="s">
        <v>1238</v>
      </c>
      <c r="P252" t="s">
        <v>46</v>
      </c>
      <c r="S252" t="s">
        <v>145</v>
      </c>
      <c r="V252" s="2">
        <v>45895</v>
      </c>
      <c r="X252" t="s">
        <v>407</v>
      </c>
      <c r="Y252" t="s">
        <v>463</v>
      </c>
      <c r="AB252" t="s">
        <v>409</v>
      </c>
      <c r="AC252" t="s">
        <v>189</v>
      </c>
      <c r="AE252" t="s">
        <v>1239</v>
      </c>
      <c r="AH252" t="s">
        <v>673</v>
      </c>
      <c r="AI252" t="s">
        <v>674</v>
      </c>
      <c r="AJ252" t="s">
        <v>734</v>
      </c>
      <c r="AL252" t="s">
        <v>53</v>
      </c>
      <c r="AM252" t="s">
        <v>54</v>
      </c>
    </row>
    <row r="253" spans="1:39" x14ac:dyDescent="0.35">
      <c r="A253" t="s">
        <v>1240</v>
      </c>
      <c r="B253" t="s">
        <v>39</v>
      </c>
      <c r="C253" t="s">
        <v>41</v>
      </c>
      <c r="D253" t="s">
        <v>1240</v>
      </c>
      <c r="E253">
        <v>1363</v>
      </c>
      <c r="F253" t="s">
        <v>979</v>
      </c>
      <c r="G253" t="s">
        <v>41</v>
      </c>
      <c r="H253" t="s">
        <v>42</v>
      </c>
      <c r="I253" t="s">
        <v>43</v>
      </c>
      <c r="J253" t="s">
        <v>1241</v>
      </c>
      <c r="K253" s="2">
        <v>45902</v>
      </c>
      <c r="L253" s="2">
        <v>45903</v>
      </c>
      <c r="M253" s="2">
        <v>45903.877002314817</v>
      </c>
      <c r="N253" t="s">
        <v>1242</v>
      </c>
      <c r="P253" t="s">
        <v>46</v>
      </c>
      <c r="S253" t="s">
        <v>145</v>
      </c>
      <c r="V253" s="2">
        <v>45903</v>
      </c>
      <c r="X253" t="s">
        <v>120</v>
      </c>
      <c r="Y253" t="s">
        <v>1227</v>
      </c>
      <c r="AB253" t="s">
        <v>78</v>
      </c>
      <c r="AC253" t="s">
        <v>975</v>
      </c>
      <c r="AE253" t="s">
        <v>1243</v>
      </c>
      <c r="AH253" t="s">
        <v>673</v>
      </c>
      <c r="AI253" t="s">
        <v>800</v>
      </c>
      <c r="AJ253" t="s">
        <v>801</v>
      </c>
      <c r="AL253" t="s">
        <v>53</v>
      </c>
      <c r="AM253" t="s">
        <v>54</v>
      </c>
    </row>
    <row r="254" spans="1:39" x14ac:dyDescent="0.35">
      <c r="A254" t="s">
        <v>1244</v>
      </c>
      <c r="B254" t="s">
        <v>39</v>
      </c>
      <c r="C254" t="s">
        <v>40</v>
      </c>
      <c r="D254" t="s">
        <v>1244</v>
      </c>
      <c r="F254" t="s">
        <v>702</v>
      </c>
      <c r="G254" t="s">
        <v>41</v>
      </c>
      <c r="H254" t="s">
        <v>224</v>
      </c>
      <c r="I254" t="s">
        <v>1212</v>
      </c>
      <c r="J254" t="s">
        <v>1245</v>
      </c>
      <c r="K254" s="2">
        <v>45909</v>
      </c>
      <c r="L254" s="2">
        <v>45910</v>
      </c>
      <c r="M254" s="2">
        <v>45910.685173611113</v>
      </c>
      <c r="N254" t="s">
        <v>1246</v>
      </c>
      <c r="P254" t="s">
        <v>46</v>
      </c>
      <c r="Q254" s="3">
        <v>46289</v>
      </c>
      <c r="S254" t="s">
        <v>630</v>
      </c>
      <c r="X254" t="s">
        <v>1247</v>
      </c>
      <c r="Y254" t="s">
        <v>1248</v>
      </c>
      <c r="AB254" t="s">
        <v>474</v>
      </c>
      <c r="AC254" t="s">
        <v>618</v>
      </c>
      <c r="AE254" t="s">
        <v>1249</v>
      </c>
      <c r="AH254" t="s">
        <v>1250</v>
      </c>
      <c r="AI254" t="s">
        <v>800</v>
      </c>
      <c r="AJ254" t="s">
        <v>801</v>
      </c>
      <c r="AK254" t="s">
        <v>1251</v>
      </c>
      <c r="AL254" t="s">
        <v>53</v>
      </c>
      <c r="AM254" t="s">
        <v>54</v>
      </c>
    </row>
    <row r="255" spans="1:39" x14ac:dyDescent="0.35">
      <c r="A255" t="s">
        <v>1252</v>
      </c>
      <c r="B255" t="s">
        <v>39</v>
      </c>
      <c r="C255" t="s">
        <v>40</v>
      </c>
      <c r="D255" t="s">
        <v>1252</v>
      </c>
      <c r="F255" t="s">
        <v>704</v>
      </c>
      <c r="G255" t="s">
        <v>41</v>
      </c>
      <c r="H255" t="s">
        <v>224</v>
      </c>
      <c r="I255" t="s">
        <v>43</v>
      </c>
      <c r="J255" t="s">
        <v>1253</v>
      </c>
      <c r="K255" s="2">
        <v>45943</v>
      </c>
      <c r="L255" s="2">
        <v>45946</v>
      </c>
      <c r="M255" s="2">
        <v>45946.641412037039</v>
      </c>
      <c r="N255" t="s">
        <v>1254</v>
      </c>
      <c r="P255" t="s">
        <v>143</v>
      </c>
      <c r="R255" t="s">
        <v>1255</v>
      </c>
      <c r="S255" t="s">
        <v>145</v>
      </c>
      <c r="T255" t="s">
        <v>708</v>
      </c>
      <c r="U255" s="2">
        <v>46028</v>
      </c>
      <c r="V255" s="2">
        <v>46028</v>
      </c>
      <c r="X255" t="s">
        <v>1256</v>
      </c>
      <c r="Y255" t="s">
        <v>1257</v>
      </c>
      <c r="AA255" s="2">
        <v>46029.049340277779</v>
      </c>
      <c r="AB255" t="s">
        <v>107</v>
      </c>
      <c r="AC255" t="s">
        <v>1258</v>
      </c>
      <c r="AD255" t="b">
        <v>0</v>
      </c>
      <c r="AE255" t="s">
        <v>1259</v>
      </c>
      <c r="AH255" t="s">
        <v>1260</v>
      </c>
      <c r="AI255" t="s">
        <v>713</v>
      </c>
      <c r="AJ255" t="s">
        <v>714</v>
      </c>
      <c r="AK255" t="s">
        <v>1261</v>
      </c>
      <c r="AL255" t="s">
        <v>53</v>
      </c>
      <c r="AM255" t="s">
        <v>54</v>
      </c>
    </row>
    <row r="256" spans="1:39" x14ac:dyDescent="0.35">
      <c r="A256" t="s">
        <v>1262</v>
      </c>
      <c r="B256" t="s">
        <v>39</v>
      </c>
      <c r="C256" t="s">
        <v>40</v>
      </c>
      <c r="D256" t="s">
        <v>1262</v>
      </c>
      <c r="F256" t="s">
        <v>702</v>
      </c>
      <c r="G256" t="s">
        <v>41</v>
      </c>
      <c r="H256" t="s">
        <v>42</v>
      </c>
      <c r="I256" t="s">
        <v>43</v>
      </c>
      <c r="J256" t="s">
        <v>1263</v>
      </c>
      <c r="K256" s="2">
        <v>45943</v>
      </c>
      <c r="L256" s="2">
        <v>45945</v>
      </c>
      <c r="M256" s="2">
        <v>45945.60728009259</v>
      </c>
      <c r="N256" t="s">
        <v>1264</v>
      </c>
      <c r="P256" t="s">
        <v>46</v>
      </c>
      <c r="S256" t="s">
        <v>145</v>
      </c>
      <c r="V256" s="2">
        <v>45945</v>
      </c>
      <c r="X256" t="s">
        <v>82</v>
      </c>
      <c r="Y256" t="s">
        <v>175</v>
      </c>
      <c r="AB256" t="s">
        <v>84</v>
      </c>
      <c r="AC256" t="s">
        <v>189</v>
      </c>
      <c r="AE256" t="s">
        <v>1265</v>
      </c>
      <c r="AH256" t="s">
        <v>673</v>
      </c>
      <c r="AI256" t="s">
        <v>674</v>
      </c>
      <c r="AJ256" t="s">
        <v>675</v>
      </c>
      <c r="AL256" t="s">
        <v>53</v>
      </c>
      <c r="AM256" t="s">
        <v>54</v>
      </c>
    </row>
    <row r="257" spans="1:39" x14ac:dyDescent="0.35">
      <c r="A257" t="s">
        <v>1266</v>
      </c>
      <c r="B257" t="s">
        <v>39</v>
      </c>
      <c r="C257" t="s">
        <v>41</v>
      </c>
      <c r="D257" t="s">
        <v>1266</v>
      </c>
      <c r="E257">
        <v>1233</v>
      </c>
      <c r="F257" t="s">
        <v>1137</v>
      </c>
      <c r="G257" t="s">
        <v>41</v>
      </c>
      <c r="H257" t="s">
        <v>42</v>
      </c>
      <c r="I257" t="s">
        <v>43</v>
      </c>
      <c r="J257" t="s">
        <v>1267</v>
      </c>
      <c r="K257" s="2">
        <v>45964</v>
      </c>
      <c r="L257" s="2">
        <v>45966</v>
      </c>
      <c r="M257" s="2">
        <v>45966.651250000003</v>
      </c>
      <c r="N257" t="s">
        <v>1268</v>
      </c>
      <c r="P257" t="s">
        <v>46</v>
      </c>
      <c r="S257" t="s">
        <v>145</v>
      </c>
      <c r="V257" s="2">
        <v>45966</v>
      </c>
      <c r="X257" t="s">
        <v>76</v>
      </c>
      <c r="Y257" t="s">
        <v>77</v>
      </c>
      <c r="AB257" t="s">
        <v>264</v>
      </c>
      <c r="AC257" t="s">
        <v>1269</v>
      </c>
      <c r="AE257" t="s">
        <v>1270</v>
      </c>
      <c r="AH257" t="s">
        <v>673</v>
      </c>
      <c r="AI257" t="s">
        <v>674</v>
      </c>
      <c r="AJ257" t="s">
        <v>734</v>
      </c>
      <c r="AL257" t="s">
        <v>53</v>
      </c>
      <c r="AM257" t="s">
        <v>54</v>
      </c>
    </row>
    <row r="258" spans="1:39" x14ac:dyDescent="0.35">
      <c r="A258" t="s">
        <v>1271</v>
      </c>
      <c r="B258" t="s">
        <v>39</v>
      </c>
      <c r="C258" t="s">
        <v>40</v>
      </c>
      <c r="D258" t="s">
        <v>1271</v>
      </c>
      <c r="F258" t="s">
        <v>702</v>
      </c>
      <c r="G258" t="s">
        <v>41</v>
      </c>
      <c r="H258" t="s">
        <v>42</v>
      </c>
      <c r="I258" t="s">
        <v>43</v>
      </c>
      <c r="J258" t="s">
        <v>1272</v>
      </c>
      <c r="K258" s="2">
        <v>45994</v>
      </c>
      <c r="L258" s="2">
        <v>45999</v>
      </c>
      <c r="M258" s="2">
        <v>46001.68855324074</v>
      </c>
      <c r="N258" t="s">
        <v>1273</v>
      </c>
      <c r="P258" t="s">
        <v>46</v>
      </c>
      <c r="S258" t="s">
        <v>145</v>
      </c>
      <c r="V258" s="2">
        <v>46001</v>
      </c>
      <c r="X258" t="s">
        <v>76</v>
      </c>
      <c r="Y258" t="s">
        <v>77</v>
      </c>
      <c r="AB258" t="s">
        <v>264</v>
      </c>
      <c r="AC258" t="s">
        <v>1274</v>
      </c>
      <c r="AE258" t="s">
        <v>1275</v>
      </c>
      <c r="AH258" t="s">
        <v>673</v>
      </c>
      <c r="AI258" t="s">
        <v>674</v>
      </c>
      <c r="AJ258" t="s">
        <v>734</v>
      </c>
      <c r="AL258" t="s">
        <v>53</v>
      </c>
      <c r="AM258" t="s">
        <v>54</v>
      </c>
    </row>
    <row r="259" spans="1:39" x14ac:dyDescent="0.35">
      <c r="A259" t="s">
        <v>1276</v>
      </c>
      <c r="B259" t="s">
        <v>39</v>
      </c>
      <c r="C259" t="s">
        <v>40</v>
      </c>
      <c r="D259" t="s">
        <v>1276</v>
      </c>
      <c r="F259" t="s">
        <v>854</v>
      </c>
      <c r="G259" t="s">
        <v>41</v>
      </c>
      <c r="H259" t="s">
        <v>42</v>
      </c>
      <c r="I259" t="s">
        <v>43</v>
      </c>
      <c r="J259" t="s">
        <v>1277</v>
      </c>
      <c r="K259" s="2">
        <v>45686</v>
      </c>
      <c r="L259" s="2">
        <v>46001</v>
      </c>
      <c r="M259" s="2">
        <v>46002.777962962966</v>
      </c>
      <c r="N259" t="s">
        <v>1278</v>
      </c>
      <c r="P259" t="s">
        <v>46</v>
      </c>
      <c r="S259" t="s">
        <v>145</v>
      </c>
      <c r="V259" s="2">
        <v>46002</v>
      </c>
      <c r="X259" t="s">
        <v>94</v>
      </c>
      <c r="Y259" t="s">
        <v>754</v>
      </c>
      <c r="AB259" t="s">
        <v>1279</v>
      </c>
      <c r="AC259" t="s">
        <v>1182</v>
      </c>
      <c r="AE259" t="s">
        <v>1280</v>
      </c>
      <c r="AH259" t="s">
        <v>673</v>
      </c>
      <c r="AI259" t="s">
        <v>742</v>
      </c>
      <c r="AJ259" t="s">
        <v>743</v>
      </c>
      <c r="AL259" t="s">
        <v>53</v>
      </c>
      <c r="AM259" t="s">
        <v>54</v>
      </c>
    </row>
    <row r="260" spans="1:39" x14ac:dyDescent="0.35">
      <c r="A260" t="s">
        <v>1281</v>
      </c>
      <c r="B260" t="s">
        <v>39</v>
      </c>
      <c r="C260" t="s">
        <v>40</v>
      </c>
      <c r="D260" t="s">
        <v>1281</v>
      </c>
      <c r="F260" t="s">
        <v>704</v>
      </c>
      <c r="G260" t="s">
        <v>41</v>
      </c>
      <c r="H260" t="s">
        <v>224</v>
      </c>
      <c r="I260" t="s">
        <v>1089</v>
      </c>
      <c r="J260" t="s">
        <v>1282</v>
      </c>
      <c r="K260" s="2">
        <v>45945</v>
      </c>
      <c r="L260" s="2">
        <v>46006</v>
      </c>
      <c r="M260" s="2">
        <v>46006.838819444441</v>
      </c>
      <c r="N260" t="s">
        <v>1283</v>
      </c>
      <c r="P260" t="s">
        <v>143</v>
      </c>
      <c r="Q260" s="3">
        <v>46112</v>
      </c>
      <c r="R260" t="s">
        <v>1284</v>
      </c>
      <c r="S260" t="s">
        <v>145</v>
      </c>
      <c r="T260" t="s">
        <v>1285</v>
      </c>
      <c r="U260" s="2">
        <v>46071</v>
      </c>
      <c r="X260" t="s">
        <v>236</v>
      </c>
      <c r="Y260" t="s">
        <v>1286</v>
      </c>
      <c r="AA260" s="2">
        <v>46074.927083333336</v>
      </c>
      <c r="AB260" t="s">
        <v>1287</v>
      </c>
      <c r="AC260" t="s">
        <v>1288</v>
      </c>
      <c r="AD260" t="b">
        <v>0</v>
      </c>
      <c r="AE260" t="s">
        <v>1289</v>
      </c>
      <c r="AH260" t="s">
        <v>1290</v>
      </c>
      <c r="AI260" t="s">
        <v>1291</v>
      </c>
      <c r="AJ260" t="s">
        <v>1292</v>
      </c>
      <c r="AK260" t="s">
        <v>1293</v>
      </c>
      <c r="AL260" t="s">
        <v>53</v>
      </c>
      <c r="AM260" t="s">
        <v>54</v>
      </c>
    </row>
    <row r="261" spans="1:39" x14ac:dyDescent="0.35">
      <c r="A261" t="s">
        <v>1294</v>
      </c>
      <c r="B261" t="s">
        <v>39</v>
      </c>
      <c r="C261" t="s">
        <v>40</v>
      </c>
      <c r="D261" t="s">
        <v>1294</v>
      </c>
      <c r="F261" t="s">
        <v>1295</v>
      </c>
      <c r="G261" t="s">
        <v>41</v>
      </c>
      <c r="H261" t="s">
        <v>42</v>
      </c>
      <c r="I261" t="s">
        <v>43</v>
      </c>
      <c r="J261" t="s">
        <v>1296</v>
      </c>
      <c r="K261" s="2">
        <v>45994</v>
      </c>
      <c r="L261" s="2">
        <v>46010</v>
      </c>
      <c r="M261" s="2">
        <v>46010.848912037036</v>
      </c>
      <c r="N261" t="s">
        <v>1297</v>
      </c>
      <c r="P261" t="s">
        <v>46</v>
      </c>
      <c r="S261" t="s">
        <v>145</v>
      </c>
      <c r="V261" s="2">
        <v>46010</v>
      </c>
      <c r="X261" t="s">
        <v>120</v>
      </c>
      <c r="Y261" t="s">
        <v>506</v>
      </c>
      <c r="AB261" t="s">
        <v>1287</v>
      </c>
      <c r="AC261" t="s">
        <v>1298</v>
      </c>
      <c r="AE261" t="s">
        <v>1299</v>
      </c>
      <c r="AH261" t="s">
        <v>673</v>
      </c>
      <c r="AI261" t="s">
        <v>713</v>
      </c>
      <c r="AJ261" t="s">
        <v>714</v>
      </c>
      <c r="AL261" t="s">
        <v>53</v>
      </c>
      <c r="AM261" t="s">
        <v>54</v>
      </c>
    </row>
    <row r="262" spans="1:39" x14ac:dyDescent="0.35">
      <c r="A262" t="s">
        <v>1300</v>
      </c>
      <c r="B262" t="s">
        <v>39</v>
      </c>
      <c r="C262" t="s">
        <v>40</v>
      </c>
      <c r="D262" t="s">
        <v>1300</v>
      </c>
      <c r="F262" t="s">
        <v>1301</v>
      </c>
      <c r="G262" t="s">
        <v>41</v>
      </c>
      <c r="H262" t="s">
        <v>42</v>
      </c>
      <c r="I262" t="s">
        <v>43</v>
      </c>
      <c r="J262" t="s">
        <v>1302</v>
      </c>
      <c r="K262" s="2">
        <v>46017</v>
      </c>
      <c r="L262" s="2">
        <v>46028</v>
      </c>
      <c r="M262" s="2">
        <v>46028.893252314818</v>
      </c>
      <c r="N262" t="s">
        <v>1303</v>
      </c>
      <c r="P262" t="s">
        <v>46</v>
      </c>
      <c r="S262" t="s">
        <v>145</v>
      </c>
      <c r="V262" s="2">
        <v>46028</v>
      </c>
      <c r="X262" t="s">
        <v>120</v>
      </c>
      <c r="Y262" t="s">
        <v>506</v>
      </c>
      <c r="AB262" t="s">
        <v>78</v>
      </c>
      <c r="AC262" t="s">
        <v>1204</v>
      </c>
      <c r="AE262" t="s">
        <v>1304</v>
      </c>
      <c r="AH262" t="s">
        <v>673</v>
      </c>
      <c r="AI262" t="s">
        <v>713</v>
      </c>
      <c r="AJ262" t="s">
        <v>714</v>
      </c>
      <c r="AL262" t="s">
        <v>53</v>
      </c>
      <c r="AM262" t="s">
        <v>54</v>
      </c>
    </row>
    <row r="263" spans="1:39" x14ac:dyDescent="0.35">
      <c r="A263" t="s">
        <v>1305</v>
      </c>
      <c r="B263" t="s">
        <v>39</v>
      </c>
      <c r="C263" t="s">
        <v>41</v>
      </c>
      <c r="D263" t="s">
        <v>1305</v>
      </c>
      <c r="E263">
        <v>1006</v>
      </c>
      <c r="F263" t="s">
        <v>1306</v>
      </c>
      <c r="G263" t="s">
        <v>41</v>
      </c>
      <c r="H263" t="s">
        <v>42</v>
      </c>
      <c r="I263" t="s">
        <v>43</v>
      </c>
      <c r="J263" t="s">
        <v>1307</v>
      </c>
      <c r="K263" s="2">
        <v>46031</v>
      </c>
      <c r="L263" s="2">
        <v>46034</v>
      </c>
      <c r="M263" s="2">
        <v>46035.76253472222</v>
      </c>
      <c r="N263" t="s">
        <v>1308</v>
      </c>
      <c r="P263" t="s">
        <v>46</v>
      </c>
      <c r="S263" t="s">
        <v>145</v>
      </c>
      <c r="V263" s="2">
        <v>46035</v>
      </c>
      <c r="X263" t="s">
        <v>1309</v>
      </c>
      <c r="Y263" t="s">
        <v>1310</v>
      </c>
      <c r="AB263" t="s">
        <v>78</v>
      </c>
      <c r="AC263" t="s">
        <v>1084</v>
      </c>
      <c r="AE263" t="s">
        <v>1311</v>
      </c>
      <c r="AH263" t="s">
        <v>673</v>
      </c>
      <c r="AI263" t="s">
        <v>674</v>
      </c>
      <c r="AJ263" t="s">
        <v>675</v>
      </c>
      <c r="AL263" t="s">
        <v>53</v>
      </c>
      <c r="AM263" t="s">
        <v>54</v>
      </c>
    </row>
    <row r="264" spans="1:39" x14ac:dyDescent="0.35">
      <c r="A264" t="s">
        <v>1312</v>
      </c>
      <c r="B264" t="s">
        <v>39</v>
      </c>
      <c r="C264" t="s">
        <v>40</v>
      </c>
      <c r="D264" t="s">
        <v>1312</v>
      </c>
      <c r="F264" t="s">
        <v>704</v>
      </c>
      <c r="G264" t="s">
        <v>41</v>
      </c>
      <c r="H264" t="s">
        <v>42</v>
      </c>
      <c r="I264" t="s">
        <v>43</v>
      </c>
      <c r="J264" t="s">
        <v>1313</v>
      </c>
      <c r="K264" s="2">
        <v>46043</v>
      </c>
      <c r="L264" s="2">
        <v>46043</v>
      </c>
      <c r="M264" s="2">
        <v>46043.656087962961</v>
      </c>
      <c r="N264" t="s">
        <v>1314</v>
      </c>
      <c r="P264" t="s">
        <v>46</v>
      </c>
      <c r="S264" t="s">
        <v>145</v>
      </c>
      <c r="V264" s="2">
        <v>46043</v>
      </c>
      <c r="X264" t="s">
        <v>216</v>
      </c>
      <c r="Y264" t="s">
        <v>1315</v>
      </c>
      <c r="AB264" t="s">
        <v>218</v>
      </c>
      <c r="AC264" t="s">
        <v>975</v>
      </c>
      <c r="AE264" t="s">
        <v>1316</v>
      </c>
      <c r="AH264" t="s">
        <v>673</v>
      </c>
      <c r="AI264" t="s">
        <v>674</v>
      </c>
      <c r="AJ264" t="s">
        <v>728</v>
      </c>
      <c r="AL264" t="s">
        <v>53</v>
      </c>
      <c r="AM264" t="s">
        <v>54</v>
      </c>
    </row>
    <row r="265" spans="1:39" x14ac:dyDescent="0.35">
      <c r="A265" t="s">
        <v>1317</v>
      </c>
      <c r="B265" t="s">
        <v>39</v>
      </c>
      <c r="C265" t="s">
        <v>40</v>
      </c>
      <c r="D265" t="s">
        <v>1317</v>
      </c>
      <c r="F265" t="s">
        <v>854</v>
      </c>
      <c r="G265" t="s">
        <v>41</v>
      </c>
      <c r="H265" t="s">
        <v>42</v>
      </c>
      <c r="I265" t="s">
        <v>43</v>
      </c>
      <c r="J265" t="s">
        <v>1318</v>
      </c>
      <c r="K265" s="2">
        <v>46042</v>
      </c>
      <c r="L265" s="2">
        <v>46048</v>
      </c>
      <c r="M265" s="2">
        <v>46051.850034722222</v>
      </c>
      <c r="N265" t="s">
        <v>1319</v>
      </c>
      <c r="P265" t="s">
        <v>46</v>
      </c>
      <c r="S265" t="s">
        <v>145</v>
      </c>
      <c r="V265" s="2">
        <v>46051</v>
      </c>
      <c r="X265" t="s">
        <v>48</v>
      </c>
      <c r="Y265" t="s">
        <v>65</v>
      </c>
      <c r="AB265" t="s">
        <v>1320</v>
      </c>
      <c r="AC265" t="s">
        <v>1321</v>
      </c>
      <c r="AE265" t="s">
        <v>1322</v>
      </c>
      <c r="AH265" t="s">
        <v>673</v>
      </c>
      <c r="AI265" t="s">
        <v>674</v>
      </c>
      <c r="AJ265" t="s">
        <v>728</v>
      </c>
      <c r="AL265" t="s">
        <v>53</v>
      </c>
      <c r="AM265" t="s">
        <v>54</v>
      </c>
    </row>
    <row r="266" spans="1:39" x14ac:dyDescent="0.35">
      <c r="A266" t="s">
        <v>1323</v>
      </c>
      <c r="B266" t="s">
        <v>39</v>
      </c>
      <c r="C266" t="s">
        <v>40</v>
      </c>
      <c r="D266" t="s">
        <v>1323</v>
      </c>
      <c r="F266" t="s">
        <v>704</v>
      </c>
      <c r="G266" t="s">
        <v>41</v>
      </c>
      <c r="H266" t="s">
        <v>42</v>
      </c>
      <c r="I266" t="s">
        <v>43</v>
      </c>
      <c r="J266" t="s">
        <v>1324</v>
      </c>
      <c r="K266" s="2">
        <v>46051</v>
      </c>
      <c r="L266" s="2">
        <v>46055</v>
      </c>
      <c r="M266" s="2">
        <v>46058.737523148149</v>
      </c>
      <c r="N266" t="s">
        <v>1325</v>
      </c>
      <c r="P266" t="s">
        <v>46</v>
      </c>
      <c r="S266" t="s">
        <v>145</v>
      </c>
      <c r="V266" s="2">
        <v>46058</v>
      </c>
      <c r="X266" t="s">
        <v>187</v>
      </c>
      <c r="Y266" t="s">
        <v>193</v>
      </c>
      <c r="AB266" t="s">
        <v>808</v>
      </c>
      <c r="AC266" t="s">
        <v>1182</v>
      </c>
      <c r="AE266" t="s">
        <v>1326</v>
      </c>
      <c r="AH266" t="s">
        <v>673</v>
      </c>
      <c r="AI266" t="s">
        <v>674</v>
      </c>
      <c r="AJ266" t="s">
        <v>675</v>
      </c>
      <c r="AL266" t="s">
        <v>53</v>
      </c>
      <c r="AM266" t="s">
        <v>54</v>
      </c>
    </row>
    <row r="267" spans="1:39" x14ac:dyDescent="0.35">
      <c r="A267" t="s">
        <v>1327</v>
      </c>
      <c r="B267" t="s">
        <v>39</v>
      </c>
      <c r="C267" t="s">
        <v>41</v>
      </c>
      <c r="D267" t="s">
        <v>1327</v>
      </c>
      <c r="E267">
        <v>1363</v>
      </c>
      <c r="F267" t="s">
        <v>979</v>
      </c>
      <c r="G267" t="s">
        <v>41</v>
      </c>
      <c r="H267" t="s">
        <v>42</v>
      </c>
      <c r="I267" t="s">
        <v>43</v>
      </c>
      <c r="J267" t="s">
        <v>1328</v>
      </c>
      <c r="K267" s="2">
        <v>46065</v>
      </c>
      <c r="L267" s="2">
        <v>46066</v>
      </c>
      <c r="M267" s="2">
        <v>46066.833935185183</v>
      </c>
      <c r="N267" t="s">
        <v>1329</v>
      </c>
      <c r="P267" t="s">
        <v>46</v>
      </c>
      <c r="S267" t="s">
        <v>145</v>
      </c>
      <c r="V267" s="2">
        <v>46066</v>
      </c>
      <c r="X267" t="s">
        <v>216</v>
      </c>
      <c r="Y267" t="s">
        <v>295</v>
      </c>
      <c r="AB267" t="s">
        <v>218</v>
      </c>
      <c r="AC267" t="s">
        <v>975</v>
      </c>
      <c r="AE267" t="s">
        <v>1330</v>
      </c>
      <c r="AH267" t="s">
        <v>721</v>
      </c>
      <c r="AI267" t="s">
        <v>674</v>
      </c>
      <c r="AJ267" t="s">
        <v>728</v>
      </c>
      <c r="AL267" t="s">
        <v>53</v>
      </c>
      <c r="AM267" t="s">
        <v>54</v>
      </c>
    </row>
    <row r="268" spans="1:39" x14ac:dyDescent="0.35">
      <c r="A268" t="s">
        <v>1327</v>
      </c>
      <c r="B268" t="s">
        <v>39</v>
      </c>
      <c r="C268" t="s">
        <v>40</v>
      </c>
      <c r="D268" t="s">
        <v>1327</v>
      </c>
      <c r="F268" t="s">
        <v>704</v>
      </c>
      <c r="G268" t="s">
        <v>41</v>
      </c>
      <c r="H268" t="s">
        <v>42</v>
      </c>
      <c r="I268" t="s">
        <v>43</v>
      </c>
      <c r="J268" t="s">
        <v>1328</v>
      </c>
      <c r="K268" s="2">
        <v>46065</v>
      </c>
      <c r="L268" s="2">
        <v>46066</v>
      </c>
      <c r="M268" s="2">
        <v>46066.833935185183</v>
      </c>
      <c r="N268" t="s">
        <v>1329</v>
      </c>
      <c r="P268" t="s">
        <v>46</v>
      </c>
      <c r="S268" t="s">
        <v>145</v>
      </c>
      <c r="V268" s="2">
        <v>46066</v>
      </c>
      <c r="X268" t="s">
        <v>216</v>
      </c>
      <c r="Y268" t="s">
        <v>295</v>
      </c>
      <c r="AB268" t="s">
        <v>218</v>
      </c>
      <c r="AC268" t="s">
        <v>975</v>
      </c>
      <c r="AE268" t="s">
        <v>1330</v>
      </c>
      <c r="AH268" t="s">
        <v>721</v>
      </c>
      <c r="AI268" t="s">
        <v>674</v>
      </c>
      <c r="AJ268" t="s">
        <v>728</v>
      </c>
      <c r="AL268" t="s">
        <v>53</v>
      </c>
      <c r="AM268" t="s">
        <v>54</v>
      </c>
    </row>
    <row r="269" spans="1:39" x14ac:dyDescent="0.35">
      <c r="A269" t="s">
        <v>1331</v>
      </c>
      <c r="B269" t="s">
        <v>39</v>
      </c>
      <c r="C269" t="s">
        <v>40</v>
      </c>
      <c r="D269" t="s">
        <v>1331</v>
      </c>
      <c r="F269" t="s">
        <v>704</v>
      </c>
      <c r="G269" t="s">
        <v>41</v>
      </c>
      <c r="H269" t="s">
        <v>42</v>
      </c>
      <c r="I269" t="s">
        <v>43</v>
      </c>
      <c r="J269" t="s">
        <v>1332</v>
      </c>
      <c r="K269" s="2">
        <v>46071</v>
      </c>
      <c r="L269" s="2">
        <v>46072</v>
      </c>
      <c r="M269" s="2">
        <v>46073.693726851852</v>
      </c>
      <c r="N269" t="s">
        <v>1333</v>
      </c>
      <c r="P269" t="s">
        <v>46</v>
      </c>
      <c r="S269" t="s">
        <v>145</v>
      </c>
      <c r="V269" s="2">
        <v>46073</v>
      </c>
      <c r="X269" t="s">
        <v>467</v>
      </c>
      <c r="Y269" t="s">
        <v>1209</v>
      </c>
      <c r="AB269" t="s">
        <v>904</v>
      </c>
      <c r="AC269" t="s">
        <v>1182</v>
      </c>
      <c r="AE269" t="s">
        <v>1334</v>
      </c>
      <c r="AH269" t="s">
        <v>673</v>
      </c>
      <c r="AI269" t="s">
        <v>674</v>
      </c>
      <c r="AJ269" t="s">
        <v>734</v>
      </c>
      <c r="AL269" t="s">
        <v>53</v>
      </c>
      <c r="AM269" t="s">
        <v>54</v>
      </c>
    </row>
    <row r="270" spans="1:39" x14ac:dyDescent="0.35">
      <c r="A270" t="s">
        <v>1335</v>
      </c>
      <c r="B270" t="s">
        <v>39</v>
      </c>
      <c r="C270" t="s">
        <v>41</v>
      </c>
      <c r="D270" t="s">
        <v>1335</v>
      </c>
      <c r="E270">
        <v>1173</v>
      </c>
      <c r="F270" t="s">
        <v>1336</v>
      </c>
      <c r="G270" t="s">
        <v>41</v>
      </c>
      <c r="H270" t="s">
        <v>42</v>
      </c>
      <c r="I270" t="s">
        <v>43</v>
      </c>
      <c r="J270" t="s">
        <v>1337</v>
      </c>
      <c r="K270" s="2">
        <v>46093</v>
      </c>
      <c r="L270" s="2">
        <v>46094</v>
      </c>
      <c r="M270" s="2">
        <v>46094.835729166669</v>
      </c>
      <c r="N270" t="s">
        <v>1338</v>
      </c>
      <c r="P270" t="s">
        <v>46</v>
      </c>
      <c r="S270" t="s">
        <v>145</v>
      </c>
      <c r="V270" s="2">
        <v>46094</v>
      </c>
      <c r="X270" t="s">
        <v>76</v>
      </c>
      <c r="Y270" t="s">
        <v>77</v>
      </c>
      <c r="AB270" t="s">
        <v>264</v>
      </c>
      <c r="AC270" t="s">
        <v>975</v>
      </c>
      <c r="AE270" t="s">
        <v>1339</v>
      </c>
      <c r="AH270" t="s">
        <v>673</v>
      </c>
      <c r="AI270" t="s">
        <v>674</v>
      </c>
      <c r="AJ270" t="s">
        <v>675</v>
      </c>
      <c r="AL270" t="s">
        <v>53</v>
      </c>
      <c r="AM270" t="s">
        <v>54</v>
      </c>
    </row>
    <row r="271" spans="1:39" x14ac:dyDescent="0.35">
      <c r="A271" t="s">
        <v>1340</v>
      </c>
      <c r="B271" t="s">
        <v>39</v>
      </c>
      <c r="C271" t="s">
        <v>40</v>
      </c>
      <c r="D271" t="s">
        <v>1340</v>
      </c>
      <c r="F271" t="s">
        <v>704</v>
      </c>
      <c r="G271" t="s">
        <v>41</v>
      </c>
      <c r="H271" t="s">
        <v>42</v>
      </c>
      <c r="I271" t="s">
        <v>43</v>
      </c>
      <c r="J271" t="s">
        <v>1341</v>
      </c>
      <c r="K271" s="2">
        <v>46094</v>
      </c>
      <c r="L271" s="2">
        <v>46097</v>
      </c>
      <c r="M271" s="2">
        <v>46098.74359953704</v>
      </c>
      <c r="N271" t="s">
        <v>1342</v>
      </c>
      <c r="P271" t="s">
        <v>46</v>
      </c>
      <c r="S271" t="s">
        <v>145</v>
      </c>
      <c r="V271" s="2">
        <v>46098</v>
      </c>
      <c r="X271" t="s">
        <v>216</v>
      </c>
      <c r="Y271" t="s">
        <v>217</v>
      </c>
      <c r="AB271" t="s">
        <v>218</v>
      </c>
      <c r="AC271" t="s">
        <v>1219</v>
      </c>
      <c r="AE271" t="s">
        <v>1343</v>
      </c>
      <c r="AH271" t="s">
        <v>673</v>
      </c>
      <c r="AI271" t="s">
        <v>674</v>
      </c>
      <c r="AJ271" t="s">
        <v>734</v>
      </c>
      <c r="AL271" t="s">
        <v>53</v>
      </c>
      <c r="AM271"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17DCA5-2368-47E3-8FAA-E1A9FD19387E}"/>
</file>

<file path=customXml/itemProps2.xml><?xml version="1.0" encoding="utf-8"?>
<ds:datastoreItem xmlns:ds="http://schemas.openxmlformats.org/officeDocument/2006/customXml" ds:itemID="{017152FA-E0D4-4FA1-8567-41D65B16A676}">
  <ds:schemaRefs>
    <ds:schemaRef ds:uri="http://schemas.microsoft.com/sharepoint/v3/contenttype/forms"/>
  </ds:schemaRefs>
</ds:datastoreItem>
</file>

<file path=customXml/itemProps3.xml><?xml version="1.0" encoding="utf-8"?>
<ds:datastoreItem xmlns:ds="http://schemas.openxmlformats.org/officeDocument/2006/customXml" ds:itemID="{E77AAA1D-3988-49A0-A6F3-08B91C7F0921}">
  <ds:schemaRefs>
    <ds:schemaRef ds:uri="http://purl.org/dc/elements/1.1/"/>
    <ds:schemaRef ds:uri="http://purl.org/dc/terms/"/>
    <ds:schemaRef ds:uri="http://purl.org/dc/dcmitype/"/>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2026-03-23T16:25:29Z</dcterms:created>
  <dcterms:modified xsi:type="dcterms:W3CDTF">2026-03-23T16:25:42Z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2026-03-23T16:25:29Z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b1e91383-29ae-440a-b49d-067b3e20e707</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