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51021/"/>
    </mc:Choice>
  </mc:AlternateContent>
  <xr:revisionPtr revIDLastSave="0" documentId="8_{9FC2C1C9-AEA9-4895-87FA-39ED08F892D7}" xr6:coauthVersionLast="47" xr6:coauthVersionMax="47" xr10:uidLastSave="{00000000-0000-0000-0000-000000000000}"/>
  <bookViews>
    <workbookView xWindow="45" yWindow="-21720" windowWidth="51840" windowHeight="21120" xr2:uid="{25F74934-2908-48B0-83C9-7369C22E50A0}"/>
  </bookViews>
  <sheets>
    <sheet name="Standard_Quality_Dashboard - QE" sheetId="1" r:id="rId1"/>
  </sheets>
  <calcPr calcId="0"/>
</workbook>
</file>

<file path=xl/calcChain.xml><?xml version="1.0" encoding="utf-8"?>
<calcChain xmlns="http://schemas.openxmlformats.org/spreadsheetml/2006/main">
  <c r="AE20" i="1" l="1"/>
  <c r="AE21" i="1"/>
  <c r="AE23" i="1"/>
</calcChain>
</file>

<file path=xl/sharedStrings.xml><?xml version="1.0" encoding="utf-8"?>
<sst xmlns="http://schemas.openxmlformats.org/spreadsheetml/2006/main" count="521" uniqueCount="207">
  <si>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</si>
  <si>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</si>
  <si>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</si>
  <si>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</si>
  <si>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</si>
  <si>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</si>
  <si>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</si>
  <si>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</si>
  <si>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</si>
  <si>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</si>
  <si>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</si>
  <si>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</si>
  <si>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</si>
  <si>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</si>
  <si>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</si>
  <si>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</si>
  <si>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</si>
  <si>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</si>
  <si>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</si>
  <si>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</si>
  <si>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</si>
  <si>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</si>
  <si>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</si>
  <si>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</si>
  <si>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</si>
  <si>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</si>
  <si>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</si>
  <si>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</si>
  <si>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</si>
  <si>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</si>
  <si>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</si>
  <si>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</si>
  <si>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</si>
  <si>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</si>
  <si>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</si>
  <si>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</si>
  <si>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</si>
  <si>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</si>
  <si>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</si>
  <si>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QE-178667</t>
  </si>
  <si>
    <t>C3651021</t>
  </si>
  <si>
    <t>(Empty)</t>
  </si>
  <si>
    <t>PFIZER</t>
  </si>
  <si>
    <t>N</t>
  </si>
  <si>
    <t>Major</t>
  </si>
  <si>
    <t>Approved - In CAPA</t>
  </si>
  <si>
    <t>Compliance attorney has raised concerns with recently approved contracts between the C5731006 and C3651021 study teams and Sarah Cannon Development Innovations, LLC.  The concerns are the contract language around payments based on per-participant enrollment compensation, rather than Fair Market Value for the specifically delineated services.Based on additional communication with the vendor contracting team, additional details were discussed that included the various approvals for the different invoicing methodology in this contract.</t>
  </si>
  <si>
    <t>GCP_Major_May-2025_C3651021, C5731006: CMCD: Contracting Process_Pfizer_USA</t>
  </si>
  <si>
    <t>YES</t>
  </si>
  <si>
    <t>&lt;p&gt;Product Protocol Number(s):&amp;nbsp;&lt;/p&gt;&lt;p&gt;C3651021&lt;/p&gt;&lt;p&gt;C5731006&lt;/p&gt;&lt;p&gt;&amp;nbsp;&lt;/p&gt;&lt;p&gt;Involved Party / Country:&lt;/p&gt;&lt;p&gt;Pfizer / United States&lt;/p&gt;&lt;p&gt;&lt;br&gt;&lt;/p&gt;&lt;p&gt;Protocol Title(s):&lt;/p&gt;&lt;p&gt;The C3651021 study is a phase 2b/3, randomized, double-blind study to investigate the efficacy, safety, and tolerability of ponsegromab (PF-06946860) compared with placebo both with background first-line chemotherapy in adult participants with cachexia and metastatic pancreatic ductal adenocarcinoma.&lt;/p&gt;&lt;p&gt;&lt;br&gt;&lt;/p&gt;&lt;p&gt;The C5731006 study is a phase 1b/2, multicohort study of disitamab vedotin in adults with HER2 expressing advanced breast cancer.&lt;/p&gt;&lt;p&gt;&lt;br&gt;&lt;/p&gt;&lt;p&gt;Description of the Issue(s):&lt;/p&gt;&lt;p&gt;On 08 May 2025 the Clinical Development and Operations (CD&amp;amp;O) Head of Issue and CAPA Management (ICM) submitted a quality event (QE) after the Pfizer Compliance Attorney raised concerns with the recently approved contracts between the Pfizer C5731006 and C3651021 study teams and Sarah Cannon Development Innovations, (SCDI) LLC on 04 Apr 2025.&lt;/p&gt;&lt;p&gt;&lt;br&gt;&lt;/p&gt;&lt;p&gt;The Pfizer Business Vendor Strategy Management (BVSM) Team was working with SCDI to implement the Accelero Model for two Pfizer oncology studies. The contract for the Accelero Model, a new clinical trial delivery model, was designed to reduce time and increase visibility into the clinical data for faster decision making at reduced costs. However, upon Pfizer legal review, it was determined the executed contract lacked detail in defining the augmented patient recruitment services for centralized pre-screening and assessing the market value for the new service description requested.&lt;/p&gt;&lt;p&gt;&lt;br&gt;&lt;/p&gt;</t>
  </si>
  <si>
    <t>No</t>
  </si>
  <si>
    <t>CAPA Plan included error proofing that will prevent reoccurrence</t>
  </si>
  <si>
    <t>Quality Procedures</t>
  </si>
  <si>
    <t>Requirement/process not met</t>
  </si>
  <si>
    <t>CT06</t>
  </si>
  <si>
    <t>Deno Klademenos</t>
  </si>
  <si>
    <t>Compliance team has reviewed SOPs and Policy statements regarding payments and how they are not to be contingent on enrollment of participants.</t>
  </si>
  <si>
    <t>The initial contract with SCDI was completed using the existing Pfizer service agreement legal template because&amp;nbsp;no&amp;nbsp;template existed to align the scope of services needed., There was no standardized process in place to ensure the right colleagues were involved in scoping and articulation of services requested from SCDI that was in critical path for contract execution.</t>
  </si>
  <si>
    <t>Method/Procedure</t>
  </si>
  <si>
    <t>Contracts/Agreements, Procedure/Form/Plan</t>
  </si>
  <si>
    <t>Conflicting or Unclear Roles and Responsibilities (Document Standard Lacking /Incorrect Standard Content), Document Doesn't Exist/Lack of Access or Availability (Signals to Use Standard or Use of Standard)</t>
  </si>
  <si>
    <t>MODEL 1 - INSOURCED</t>
  </si>
  <si>
    <t>Internal Medicine</t>
  </si>
  <si>
    <t>QE-187411</t>
  </si>
  <si>
    <t>1063, 1077, 1082, 1282, 52004</t>
  </si>
  <si>
    <t>Francisco Ramirez Godinez (C3651021-1063), Francisco Ramirez Godinez (C4551002-1282), Francisco Ramirez Godinez (C5731001-52004), Juan Carlos Vazquez Limon (C5851005-1077), Martin Guerrero Becerra (C3601010-1082)</t>
  </si>
  <si>
    <t>Closed</t>
  </si>
  <si>
    <t>Mexican site  Cyber-attack  Hospital Civil</t>
  </si>
  <si>
    <t>GCP_Major_Jun-2025_Mutilple Protocols: Cyber Security Incident (Kazu)_Hospital Civil de Guadalajara; Multiple Sites_MEX</t>
  </si>
  <si>
    <t>&lt;p style="margin-left: 0in;"&gt;&lt;span style="font-size: small;"&gt;Product Protocol Number:&amp;nbsp;&lt;/span&gt;&lt;/p&gt;&lt;p style="margin-left: 0in;"&gt;&lt;span style="font-size: small;"&gt;Multiple Protocols&lt;/span&gt;&lt;/p&gt;&lt;p style="margin-left: 0in;"&gt;&lt;span style="font-size: small;"&gt;&amp;nbsp;&lt;/span&gt;&lt;/p&gt;&lt;p style="margin-left: 0in;"&gt;&lt;span style="font-size: small;"&gt;Involved Party / Site Number (if applicable) / Country:&lt;/span&gt;&lt;/p&gt;&lt;p style="margin-left: 0in;"&gt;&lt;span style="font-size: small;"&gt;PI: Multiple&lt;/span&gt;&lt;/p&gt;&lt;p style="margin-left: 0in;"&gt;&lt;span style="font-size: small;"&gt;Site:&amp;nbsp;Hospital Civil de Guadalajara&lt;/span&gt;&lt;/p&gt;&lt;p style="margin-left: 0in;"&gt;&lt;span style="font-size: small;"&gt;&amp;nbsp;&lt;/span&gt;&lt;/p&gt;&lt;p style="margin-left: 0in;"&gt;&lt;span style="font-size: small;"&gt;Description of Issue(s):&lt;/span&gt;&lt;/p&gt;&lt;p style="margin-left: 0in;"&gt;&lt;span style="font-size: small;"&gt;&amp;nbsp;&lt;/span&gt;&lt;/p&gt;&lt;p style="margin-left: 0in;"&gt;&lt;span style="font-size: small;"&gt;On 23 Jun 2025, Hospital Civil de Guadalajara experienced an exploratory attack on an isolated academic module containing their school records platform. Pfizer Site Care Partner became aware of the event via an email from the site on 27 Jun 2025. Pfizer is not currently utilizing Hospital Civil de Guadalajara as an ongoing site for any study. However, the site is proposed for 5 studies, and 30 completed studies have had a clinical site assigned to Hospital Civil de Guadalajara.&lt;/span&gt;&lt;/p&gt;&lt;p style="margin-left: 0in;"&gt;&lt;span style="font-size: small;"&gt;&amp;nbsp;&lt;/span&gt;&lt;/p&gt;&lt;p&gt;&lt;span style="font-size: small;"&gt;On 09 Sep 2025, the hospital provided a letter and attached technical report detailing the attack that occurred and confirming that there was no impact to Pfizer data or information related to Pfizer studies, and that no hospital, clincal or research systems of patient records were affected by the attack.&amp;nbsp;&lt;/span&gt;&lt;/p&gt;</t>
  </si>
  <si>
    <t>Quality Event only required gap analysis investigation</t>
  </si>
  <si>
    <t>IT Systems</t>
  </si>
  <si>
    <t>IT system security threat/compromise (inappropriate use/access, intrusion detection, mgmt/unintended release of non-subj info)</t>
  </si>
  <si>
    <t>No Process Assigned</t>
  </si>
  <si>
    <t>Yatzil Alejandra Garibay</t>
  </si>
  <si>
    <t>.4pt;"In response, the Guadalajara Civil Hospital issued a brief statement acknowledging that it has been detected "a likely breach of its institutional portal" and they are taking legal action in accordance with current regulations. It added that it has strengthened the monitoring of its systems to identify potential anomalies and reiterated its commitment to protecting personal data.</t>
  </si>
  <si>
    <t>Gap Analysis</t>
  </si>
  <si>
    <t>N/A</t>
  </si>
  <si>
    <t>QE-194629</t>
  </si>
  <si>
    <t>Minor</t>
  </si>
  <si>
    <t>Vendor: Havas (Creative Lynx Ltd)Project: C3651021Issue: Subcontractors only listed in the "Authorised Subprocessors" part of Exhibit E, but not listed in the "Subcontractor" section A.  Of the listed Authorise Subprocessors, only Techspert have actually been used.</t>
  </si>
  <si>
    <t>GCP_Minor_Aug-2025_C3651021: Recruitment Subcontractors_Pfizer_Global</t>
  </si>
  <si>
    <t>NO</t>
  </si>
  <si>
    <t>Quality Oversight</t>
  </si>
  <si>
    <t>Inadequate Principal Investigator quality oversight</t>
  </si>
  <si>
    <t>QMS09-Vendor Engagement</t>
  </si>
  <si>
    <t>Joel Roberts</t>
  </si>
  <si>
    <t>1. Met with Asset Quality Lead &amp;amp; the manager of the Recruitment Vendor Lead to discuss the event2. Followed up with Havas to clarify the role of the sub-vendors in preparation for a contract amendment</t>
  </si>
  <si>
    <t>NA</t>
  </si>
  <si>
    <t>Human Performance</t>
  </si>
  <si>
    <t>Learning Error</t>
  </si>
  <si>
    <t>QE-195306</t>
  </si>
  <si>
    <t>Potential non-compliance with CP902:Structured interviews took place where patients and HCPs reviewed our clinical trial materials as per regulator guidelines on best practice. This process was not submitted as a CP902 project. The vendor involved is Havas Lynx Faze.</t>
  </si>
  <si>
    <t>GCP_Minor_Aug-2025_C3651021: Company Sponsored Programs_Pfizer_Global</t>
  </si>
  <si>
    <t>CP902</t>
  </si>
  <si>
    <t>Discussed the issue with representatives from Quality and Vendor Management. Followed up with the vendor to understand the structure of the review process and obtain necessary documentation.</t>
  </si>
  <si>
    <t>QE-203939</t>
  </si>
  <si>
    <t>SIGNANT HEALTH GLOBAL SOLUTIONS LIMITED</t>
  </si>
  <si>
    <t>On August 20th, 2025, Signant Health (SH) vendor provided Pfizer study team with the translation &amp;amp; localization timelines for 27 languages for both modalities (the App and the Slate) in C3651021 study. Based on those timelines, site activation strategy was built across all 20 countries in this study. The SH team confirmed on September 10th that the timelines are still on track. However, on September 25th, PFE study team invited the SH team for an urgent meeting since the translation deliverables for the first set of priority countries were delayed by a few days, and during that meeting the SH team informed that the deliverables were delayed and the SH have initiated an internal investigation. At the next meeting, on September 29th, the SH team informed the PFE team that due to the issues in internal translation process at Signant, the localization timelines for all countries are being delayed by approx. additional 3 weeks for both modalities.</t>
  </si>
  <si>
    <t>GCP_Minor_Sep-2025_C3651021: PRO Translations_Signant Health_Global</t>
  </si>
  <si>
    <t>Anna Tkachenko</t>
  </si>
  <si>
    <t>1) SH PM team and SH Localization teams met on September 29th to reinforce the critical need for final deliverables across all impacted languages by October 3rd. SH Localization has compressed internal timelines to expedite delivery. Signant's translation vendor is actively reducing review durations and fast-tracking progress wherever feasible. 2) SH will raise internal Quality Event (QE) – The QE will include a Root Cause Analysis along with corrective and preventative actions to address the identified issue. SH will continue to keep PFE updated on the progress and will share the QE as soon as it's ready.   3) SH will begin providing daily localization updates to the PFE team. These updates will include the current status of ongoing deliverables, along with any potential risks or issues that may impact timelines. SH will also review the localization tracker during weekly meetings with the Pfizer team to share progress and proactively highlight any risks or concerns related to overall timelines.</t>
  </si>
  <si>
    <t>na</t>
  </si>
  <si>
    <t>Application Error</t>
  </si>
  <si>
    <t>QE-205262</t>
  </si>
  <si>
    <t>Deficiencies in Vendor Signant Health (SH) quality control processes contributing to devices shipped to sites without Ametris CentrePoint App installed as required (application needed for digital activity monitoring data transfer from Watch device): as per the process, SH team had to manually install the CentrePoint App on the Smartphone devices prior to their shipment to sites, but missed this step for three sites (sites 1043 and 1103 in Japan ; and site 1189 in Puerto Rico) and the Smartphones were shipped to these three sites without this App.</t>
  </si>
  <si>
    <t>GCP_Minor_Oct-2025_C3651021: Vendor Responsibilities: QC and Study Device Supplies_Signant Health_JPN, PRI</t>
  </si>
  <si>
    <t>Equipment, Facility and Sample/Specimens</t>
  </si>
  <si>
    <t>Inadequate equipment/lab supply mgmt.</t>
  </si>
  <si>
    <t>1) Sponsor is performing enhanced oversight and follow up to ensure the devices are urgently replaced at these three sites; 2) SH to re-check all prior shipments to ensure there is no impact to other sites and provide a written confirmation to the Sponsor; 3) Going forward, SH to re-check devices prior to shipments and provide appropriate documentation to the Sponsor on a regular basis.</t>
  </si>
  <si>
    <t>QE-206291</t>
  </si>
  <si>
    <t>ACTIGRAPH LLC</t>
  </si>
  <si>
    <t>Actigraph (new name - Ametris), the Digital Health Technology vendor, completed the translation of their CentrePoint mobile application into different languages covering several countries, however the vendor did not provide the translated printed screen reports in a timely manner to Pfizer for submission to the IRBs/ECs in those countries. This application is designed to be used by the study site staff, and also by the participants during the clinical study.At the time of initial awareness, the issue was not considered to meet the definition of a Quality Event, however, upon further review, it was considered reportable since this could have a potential for more significant impact, hence the event might meet the criteria for a Quality Event and should be documented accordingly.</t>
  </si>
  <si>
    <t>GCP_Minor_Oct-2025_C3651021: Centrepoint Mobile Application Translations_ACTIGRAPH LLC_Multiple</t>
  </si>
  <si>
    <t>Failure to a follow sponsor/third party/site controlled procedure (e.g., SOP or statistical analysis plan)</t>
  </si>
  <si>
    <t>INV02-Investigational Site Selection, Preparation, and Initiation</t>
  </si>
  <si>
    <t>Pfizer GSM requested the vendor to provide the translated screen reports urgently for all the applicable translations that were completed for this Application. The vendor has provided several translations which were already shared with the relevant countries and have been submitted to their IRB accordingly. Translated screen reports are still pending for several other countries and the vendor is committed to provide those within next week.</t>
  </si>
  <si>
    <t>Omission Error</t>
  </si>
  <si>
    <t>QE-209002</t>
  </si>
  <si>
    <t>1002, 1004, 1016, 1030, 1034, 1035, 1037, 1063, 1068, 1076, 1086, 1087, 1091, 1106, 1109, 1119, 1126, 1141, 1152, 1155, 1158, 1160, 1163, 1166, 1214, 1252, 1293, 1294, 1401, 33018, 81019, 86004</t>
  </si>
  <si>
    <t>Atsuro Sawada (C5731001-81019), Ayala Hubert (C3651021-1076), Buhle Nxumalo-Toba (C4591048-1158), Camilla Thellenberg Karlsson (C3441021-1160), cheng zhou (B7981094-1152), Chia-Jen Liu (C1071015-1035), Ge Tan (C4951063-1086), George Medvedev (C4951063-1068), Grant McArthur (C4901001-1068), Heather West (C4391024-1401), Huailian Guo (C4951063-1087), Ildefonso Rodriguez Rivera (C5951001-1004), John O'Mahony (C4951063-1030), Jose luis Velasco garrido (C4531029-1109), Junzhen Gao (C4531029-1163), Laurent Greillier (C5751003-1214), Lu Li (C5751002-86004), Miroslav Stoyanov (C4921003-1034), Nan Su (C4531029-1155), Norman Lepor (C4921003-1016), Sabrina Falkowski (C5731001-33018), Sandra Basic-Kinda (C1071032-1293), Seung Soo Yoo (C5751003-1119), Soyun Cho (B7981094-1037), Steinbjoern Hansen (C2321003-1294), Takuya Shintani (C4921003-1126), Tokuya Omi (B7451031-1063), Tulio Rodriguez (C1071032-1166), Yanqiu Zhao (C5851005-1106), Yi-Tsung Lin (C5091018-1002), You Sook Cho (C4531029-1091), Yusuke Fujikawa (C4921003-1141), Zhangzhou Huang (C5751003-1252)</t>
  </si>
  <si>
    <t>Critical</t>
  </si>
  <si>
    <t>In Investigation</t>
  </si>
  <si>
    <t>  Background: On 17 Oct 2025, I received a SIRIUS ticket from a Korean Site care partner. The ticket, originally submitted on 30 Sep 2025, asked why Protocol B7981094 Site 1037 did not have the latest SUSAR reports posted in their SIRIUS portal folder.  Investigation Findings:The site status was “Ongoing,” but the “Send SUSAR” flag for the Principal Investigator was set to “N” (No).Normally, for ongoing sites, this flag should be “Y” (Yes), and it cannot be manually changed to “N.”This suggested a technical issue.  Actions Taken:On 20 Oct 2025, I contacted the GPDIP team and submitted a ticket.On 21 Oct 2025, GPDIP confirmed that the “susar_Send” flag was “Y” in MDM and GPDIP Intermediate but not updated in GPDIP CDM.On 23 Oct 2025, GPDIP performed a “retrigger” to correct the flag for the site.On 24 Oct 2025, GPDIP provided analysis containing 30 sites with the Send SUSAR flag = Y in Siebel but incorrectly showing as N in GPDIP. Additionally, 2 sites in Siebel have the Send SUSAR flag = N and in GPDIP they show as Y.  Ongoing Concerns:I requested GPDIP not to close the ticket, as a backend search is needed to see if other sites are affected.The PIs impacted have been identified but the start date of the issue impacting each PI is unknown.The data for the 32 impacted sites needs to be refreshed so the Send SUSAR flag can correctly populate in downstream systems.The Korean site missed multiple SUSAR reports, which now must be submitted late to the Principal Investigator.It is not yet known how many SUSARs have missed being reported to the impacted PIs, so it is not yet known how many reports will need to be sent to them late.  Summary: This is a quality event (QE) causing SUSAR reports not to be sent to Principal Investigators. The full impact is still unclear. This issue is related to QE-200578 and QE-196243.</t>
  </si>
  <si>
    <t>GCP_Critical_Oct-2025_Enterprise Level: SUSAR Report Distribution_GPDIP MDM Veeva Clinical_Pfizer_Global UPGRADE</t>
  </si>
  <si>
    <t>IT Systems, Safety surveillance and reporting by Sponsor</t>
  </si>
  <si>
    <t>Inadequate Data Conversion / Data Migration / Data Extension / Report Configuration, Inadequate/incomplete reporting, failure/delay in reporting safety event to regulators, authorities, IRB/investigators by Pfizer</t>
  </si>
  <si>
    <t>AEM01-Adverse Event Monitoring</t>
  </si>
  <si>
    <t>C Anna Breen</t>
  </si>
  <si>
    <t>The GPDIP group has been requested to investigate and verify if any other sites have set the Send SUSAR flag incorrectly. They have also been asked to report on when this issue began. The Korean DSU team has been notified that, once further information is available, they will need to send or remediate late reports outside of SIRIUS for this principal investigator.</t>
  </si>
  <si>
    <t>QE-210279</t>
  </si>
  <si>
    <t>TransPerfect, the sub-contractor of the Signant Health vendor, has made numerous mistakes in the ePRO Slate Screen report translations, which affected six (6) languages.</t>
  </si>
  <si>
    <t>GCP_Minor_Oct-2025_C3651021: ePRO Translations_Signant Healt_Multiple Countries</t>
  </si>
  <si>
    <t xml:space="preserve">Correction activities have been started by TransPerfect and are closely overseen by Signant: 1) Mistakes will be corrected and the updated Screen reports will be provided to Pfizer within 1 week; 2) Correction will be applied to the Slate ePRO system by Signant within 2 weeks; 3) Corrected Screen reports will have to be re-submitted for approval to the EC's, where applicable, and the respective Pfizer c-SOMs have been notified by the GSM. </t>
  </si>
  <si>
    <t>QE-212893</t>
  </si>
  <si>
    <t>This is the new issue/additional information to the previously submitted case QE-206291_GCP_Minor_Oct-2025.Numerous errors were identified in the participant-facing document translations of the CentrePoint Application screen reports that were provided by the vendor to Pfizer: a few screenshots for a few device alerts were included in the translated document in a different language by mistake, while those screenshots in the designated translated language were missing. This issue has been observed in 5 languages out of 13 languages in total.</t>
  </si>
  <si>
    <t>GCP_Minor_Nov-2025_C3651021: Participant-Facing Materials: Translations_ActiGraph (Ametris)_Multiple Countries</t>
  </si>
  <si>
    <t>INV03-Study Participant Recruitment and Retention Planning</t>
  </si>
  <si>
    <t>1) Vendor has taken immediate actions to retrieve the screenshots in required languages to replace the incorrect images in the documents. 2) Vendor initiated an investigation on their end to assess the full impact and develop the CAPA plan. This issue has been added as an agenda item in the weekly meeting minutes with the vendor. 3) Pfizer country teams have been notified of the errors, where the said documents are expected to be submitted to the EC. Re-submission of the corrected documents will have to take place once provided by the vendor.</t>
  </si>
  <si>
    <t>Procedure/Form/Plan</t>
  </si>
  <si>
    <t>QE-217571</t>
  </si>
  <si>
    <t>PFIZER, SIGNANT HEALTH GLOBAL SOLUTIONS LIMITED</t>
  </si>
  <si>
    <t>It was noticed that the standard set of screen shots related to the usage of the participant's biometrics within the participant-facing Signant's Application Report document for the ePRO on the Smartphone is different between two Pfizer studies using the same vendor, Signant. Specifically, in C3651021 study, the screen shot containing the checkbox for the participant to give their permission to use their biometrics in the App was missing. This is unexpected, because biometric menu is not study-specific, but rather is a general setting, which should be consistent across all Pfizer studies. Other biometric-related screens matched between these two studies, and those biometric screens contain explanation for the participant(s) that they can use biometrics for authentication. Additional issue: there is a standard wording in the Pfizer country-level ICD (for different countries) in the Privacy Supplement section mentioning that the participant(s) should review "the terms and conditions and privacy policy of any digital tool or mobile application used in the study to understand further how information collected through those digital tools and applications may be used". However, as a response to the query from the PFE Vendor Lead, Signant vendor clarified that their privacy policy is available on their website. However, the link to this website was not included in any of the participant-facing Signant's guides. Moreover, this web-page contains the privacy language in English language, and is not translated in any other languages. Also, their current privacy policy (in English) did not contain any mentioning of the biometric identification on the Signant's App and/or proviosioned phones, and how the biometric data is used.</t>
  </si>
  <si>
    <t>GCP_Minor_Dec-2025_C3651021: Participant-Facing Materials_Signant Health; Pfizer_Global</t>
  </si>
  <si>
    <t xml:space="preserve">1) Urgent meeting with Signant regarding the missing screen shot in the App report document was conducted on 05-Dec-2025. The vendor is performing their internal investigation to clarify whether they simply missed to include the screenshot in the document, or if they missed to build this screen in the study design; also they are investigating whether any additional screens may be potentially missing, as well as the route cause for that. 2) Both issues were escalated to the PFE Vendor Lead and to the C3651021 study team. Since other biometric-related screens are present in the current App built, the participants are generally made aware of the purpose of the biometric use and that they can enable it by clicking the appropriate button. The study team will define further steps based on the results of the investigation performed by the vendor, and will define what message, or instruction, if any, should be sent to the study sites, as appropriate. </t>
  </si>
  <si>
    <t>Personnel</t>
  </si>
  <si>
    <t>Inadequate Information for Determination</t>
  </si>
  <si>
    <t>QE-219824</t>
  </si>
  <si>
    <t>ORACLE</t>
  </si>
  <si>
    <t>Inform LNMT is a separate functionality within Inform EDC which is used to set-up Local Labs and configure the lab normal ranges which are associated to corresponding Studies and Sites. MedTech team has access to Inform LNMT to perform these functions.Inform is a product of Oracle. And Oracle identified that, if multiple users are working in the LNMT and making updates in it, it is causing the audit to capture the username of another user. Oracle notified Pfizer about this identified issue and the action they have taken on 3/Dec/2025.Please note, this issue only affected the username attribution in the LNMT audit trail; all other clinical trial audit data remains accurate. Additionally, users were never able to perform actions outside of their authorized permissions.</t>
  </si>
  <si>
    <t>GCP_Minor_Dec-2025_Multiple Studies: InForm LNMT User Audit Trail_Oracle_Global</t>
  </si>
  <si>
    <t>Data Collection and Management</t>
  </si>
  <si>
    <t>Data management error</t>
  </si>
  <si>
    <t>DMB07-Study Data Set Design and Setup</t>
  </si>
  <si>
    <t>Prathamesh Patil</t>
  </si>
  <si>
    <t>Oracle has implemented preventative fixes to prevent incorrect user attribution in the LNMT audit going forward. Please note that Oracle is unable to retroactively correct past occurrences of this issue.</t>
  </si>
  <si>
    <t>Equipment/System/Facility</t>
  </si>
  <si>
    <t>System/Application</t>
  </si>
  <si>
    <t>QE-224466</t>
  </si>
  <si>
    <t>It
was identified that one of the roles (Database Builder_Production) in several
InForm studies had incorrect permissions enabled including permissions to
enter/edit data.</t>
  </si>
  <si>
    <t>GCP_Minor_Jan-2026_Multiple Studies: System Access Controls_Pfizer_IND</t>
  </si>
  <si>
    <t>Inadequate system access or account management</t>
  </si>
  <si>
    <t>CP403</t>
  </si>
  <si>
    <t>Jennifer DelSanto</t>
  </si>
  <si>
    <t xml:space="preserve">Updated
the role to have the correct permissions enabled according to the InForm Rights
and Roles matrix, performed QC and generated audit trail report to ensure no
unexpected transactions occurred. </t>
  </si>
  <si>
    <t>QE-224824</t>
  </si>
  <si>
    <t>Two ePRO Slate devices received by the site 1004 in Japan, and both without the required application, TrialMax, installed. This application is necessary to complete the ePROs by the participants.</t>
  </si>
  <si>
    <t>GCP_Minor_Jan-2026_C3651021: ePRO Device Application_Signant Health_JPN</t>
  </si>
  <si>
    <t>Vendor is following up with their internal team to mitigate this issue by exploring different options: installing the App remotely, or shipping the new devices if remote installation is not possible. Also the vendor is performning internal investigation on the root cause of this failure, because, as per vendor's confirmation, there is a QC step preceding dispatch of any device, and this QC step had failed for unknown reason. Also, the vendor is checking whether another shipment to Japan site 1010 might have been impacted as well.  Pfizer GSM sent an e-mail communication to all relevant local Pfizer team members in this study informing them of this issue and requesting them to follow up with all their sites in other countries to check whether all necessary applications are present on their provisioned devices.</t>
  </si>
  <si>
    <t>QE-225736</t>
  </si>
  <si>
    <t>Issues have been identified with the Signant provisioned phones and CentrePoint App of Ametris vendort which is installed on those phones for collecting the physical activity data via the digital watch: •  Whenever the device is out of range from the phone, Bluetooth connection is dropped (sometimes), it does not automatically connect the device back to the phone when brought back into range.</t>
  </si>
  <si>
    <t>GCP_Minor_Feb-2026_C3651021: CentrePoint App Connectivity Issue – Signant Devices_Signant Health_GBL</t>
  </si>
  <si>
    <t>Minor/Unrated Quality Event</t>
  </si>
  <si>
    <t>DMB03</t>
  </si>
  <si>
    <t>Possible solution is to turn off the phone then turn back on to reestablish this connection.Signant will remotely update/resolve the issue by restarting the phones. They are determining if they can do this in “groups” based on time zone to ensure the connection is reestablished at a reasonable time for the participants.In January's newsletter, sites were informed about this issue and were asked to restart the phone and ask the participant to do a manual upload until we have a permanent solution; to remind the participant to wear the watch for the designated number of days, per the schedule of activities (data is still be collected and stored on the watch and can be retrieved at the study visit); to remind participant(s) that on days when the watch is not worn, they should place it on the charger to prevent excessive use of the device’s memory; to upload the data via the ActiSync app by connecting the watch to the computer at every on-site visit.</t>
  </si>
  <si>
    <t>QE-226926</t>
  </si>
  <si>
    <t>Site 1010 in Japan received Signant ePRO supplies shipment (Slate and Smartphone) for C3651021 Pfizer study, however they reported that they received the Site User Manual (SUM) of a different sponsor ("Amgen"). Site checked and confirmed that they could see the C3651021 study logo when they switched on the Slate device, however, it is not possible to check the same for the Smartphone device because the TrialMax app needs to be unlocked with an activation code when the actual participant is screened, so it is not 100% clear whether the Smartphone received is indeed for C3651021 study or is this the phone of another sponsor (the same way as happened with the SUM).</t>
  </si>
  <si>
    <t>GCP_Minor_Feb-2026_Protocol: Vendor Responsibilities: Non-Clinical Supplies_Signant Healht_JPN</t>
  </si>
  <si>
    <t>1) Replacement shipment has been already initiated by Signant; 2) Signant initiated internal investigation for the root cause and CAPA; 3) Signant was requested by Pfizer to check internally whether the Smartphone sent is indeed for C3651021 Pfizer study or if this is for the wrong study.</t>
  </si>
  <si>
    <t>PHI</t>
  </si>
  <si>
    <t>QE-227324</t>
  </si>
  <si>
    <t>SIGNANT HEALTH GLOBAL SOLUTIONS LIMITED, TRANSPERFECT TRANSLATIONS INTERNATIONAL INC</t>
  </si>
  <si>
    <t>This quality event is related to the QE-210279 already reported previously due to the translation errors in ePRO screen reports made by the TransPerfect vendor which is the sub-contractor of the Signant vendor. At the time of that previous QE it was confirmed by Signant that TransPerfect had confirmed that all forms and languages within study C3651021 were reviewed at that time, and no further impact was expected as of the confirmation on November 3rd, 2025 (correspondence attached). However, on February, 5th, 2026, Signant informed Pfizer about new errors found by Signant in the ePRO screen reports translations in this study, as well as in the corresponding production environment. Those errors were detected during Signant Library Maintenance review, which suggests that previous review by TransPerfect was insufficient and did not detect errors in their deliverables.</t>
  </si>
  <si>
    <t>GCP_Minor_Feb-2026_C3651021: ePRO Translations_Signant Health; TransPerfect_Multiple Countries</t>
  </si>
  <si>
    <t xml:space="preserve">As per Signant's confirmation, these issues have been addressed with TransPerfect (TPT) and they have opened a CAPA. Urgent meeting has occurred between Pfizer and Signant to assess the impact. Signant has provided the updated screen reports to Pfizer. It has been agreed that Signant will apply the corrections to the production environment once this is agreed with the Pfizer country teams, and whether this can be done in parallel with the submission of the updated screen reports to the respective ECs. </t>
  </si>
  <si>
    <t>QE-229108</t>
  </si>
  <si>
    <t>Andrew Hendifar (C3651021-1030)</t>
  </si>
  <si>
    <t>SCP received communication from the site on 13 February 2026 regarding the patient care materials, specifically the materials stating a registration to be completed prior to chemotherapy. The protocol requires all screening procedures to be conducted prior to C1D1 of chemotherapy. Per the primary study coordinator, the screening procedures noted in the protocol amendment 1 v. 25Jul2025 were unclear and inadvertently conducted the procedures noted below for the two subjects currently in screening:10301001Consented 1/29/26C1D1 Chemo 2/3/26Screening labs and EKG completed on 2/10/26Planned ECHO and CT on 2/25/26Planned study treatment start/C2D1 on 3/3/26 10301002C1D1 chemo 2/5/26Consented 2/12/26Planning to complete all screening procedures between now and 3/5/26Planned study treatment start/C2D1 on 3/5/26 The PI attended the investigator meeting on 11-13 September 2025 and site initiation visit was conducted on 28 January 2026. At the time of SIV, concerns raised by the site team were addressed by SCP and CRA, additional follow up was sent to clinical regarding other site inquiries. The site has made claims that it was under the SCP training discussion that the site was allowed to conduct screening procedures during C1D1 of chemotherapy. SCP informed the site that certain procedures can be done during C1D1, however, it was unclear as to which procedures.  Site policies do not allow site teams to access Firecrest for training materials nor have they received the study newsletters that provided guidance for screening process or were aware of the Firecrest Visit-by-Visit Guide.</t>
  </si>
  <si>
    <t>GCP_Minor_Feb-2026_C3651021: Screening Activities; Monitoring Responsibilities_Hendifar, Andrew; Pfizer_USA</t>
  </si>
  <si>
    <t>Protocol Deviations, Site Management and Monitoring</t>
  </si>
  <si>
    <t>Failure to follow protocol, Failure to follow study specific monitoring plan/ requirements</t>
  </si>
  <si>
    <t>CT40-Management of Protocol Deviations, INV04-Investigational Site Management and Monitoring</t>
  </si>
  <si>
    <t>Victor Buenrostro</t>
  </si>
  <si>
    <t>QE-231321</t>
  </si>
  <si>
    <t>TRANSPERFECT TRANSLATIONS INTERNATIONAL INC</t>
  </si>
  <si>
    <t>Protocol Amendment 2 Informed Consent Documents (ICDs) for study C3651021 were sent to TransPerfect for translation (to Hebrew, Russian and Arabic). However, the translations received were of poor quality and could not be used for submission to the Local Ethics Committees (LECs).Although the vendor was provided with the most recently approved, site‑specific ICDs and was instructed to use each site’s document as the basis for its respective translations, this instruction was not followed. Instead, the ICD from one site was used as the source document and replicated across other sites.As a result, the translations were delivered with tracked changes against a different site’s ICD, rather than against each site’s own previously approved version. Since LECs require site‑specific tracked changes compared to the last approved ICD, the documents could not be submitted. Moreover, because the ICDs are site‑specific documents, required site‑specific content was not implemented correctly, and the translated ICDs did not align with the last LEC‑approved versions. For example, a revision requested by one LEC was incorrectly applied to all Russian ICDs, although it should have been implemented for only one specific site.Due to these issues, the submission deadlines were missed, resulting in delays to protocol amendment implementation. The documents were returned to the vendor for complete rework; however, the subsequently provided tracked‑changes versions are still not fully aligned with the last approved ICDs.</t>
  </si>
  <si>
    <t>GCP_Minor_Mar-2026_C3651021: Informed Consent Document (ICD) Translations_TransPerfect Translations_ISR</t>
  </si>
  <si>
    <t>Document Management</t>
  </si>
  <si>
    <t>Inadequate documentation</t>
  </si>
  <si>
    <t>CT05-Informed Consent Document</t>
  </si>
  <si>
    <t>Yael Amsterdam</t>
  </si>
  <si>
    <t>The documents were returned to the vendor for complete rework. Issue was escalated to Kathleen Ruddy; Pfizer's Process and Standards Lead.</t>
  </si>
  <si>
    <t>QE-231355</t>
  </si>
  <si>
    <t>According to Protocol C3651021, ECG machines must be capable of automatically calculating the QTcF value, and the result must be printed on paper. Recently, we discovered that some ECG machines currently used at the study sites (excluding those supplied by PXL) are unable to calculate QTcF or print the results automatically. Although the PSR and SAC documents are intended to confirm whether the ECG machines meet the protocol requirements, some study team members have overlooked them during visits to sites for feasibility assessments and, in some cases, for initiation or activation.</t>
  </si>
  <si>
    <t>GCP_Minor_Mar-2026_C3651021: CMCD: Site Readiness: ECG Capabilities_Pfizer_Global</t>
  </si>
  <si>
    <t>Mihai Stoica</t>
  </si>
  <si>
    <t>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</si>
</sst>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2663A-E858-4030-B6B7-E0AA984262B5}">
  <dimension ref="A1:AM23"/>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45777</v>
      </c>
      <c r="L2" s="1">
        <v>45785</v>
      </c>
      <c r="M2" s="1">
        <v>45785.679710648146</v>
      </c>
      <c r="N2" t="s">
        <v>47</v>
      </c>
      <c r="P2" t="s">
        <v>48</v>
      </c>
      <c r="R2" t="s">
        <v>49</v>
      </c>
      <c r="S2" t="s">
        <v>50</v>
      </c>
      <c r="T2" t="s">
        <v>51</v>
      </c>
      <c r="U2" s="1">
        <v>45887</v>
      </c>
      <c r="X2" t="s">
        <v>52</v>
      </c>
      <c r="Y2" t="s">
        <v>53</v>
      </c>
      <c r="AA2" s="1">
        <v>45889.800520833334</v>
      </c>
      <c r="AB2" t="s">
        <v>54</v>
      </c>
      <c r="AC2" t="s">
        <v>55</v>
      </c>
      <c r="AD2" t="b">
        <v>0</v>
      </c>
      <c r="AE2" t="s">
        <v>56</v>
      </c>
      <c r="AH2" t="s">
        <v>57</v>
      </c>
      <c r="AI2" t="s">
        <v>58</v>
      </c>
      <c r="AJ2" t="s">
        <v>59</v>
      </c>
      <c r="AK2" t="s">
        <v>60</v>
      </c>
      <c r="AL2" t="s">
        <v>61</v>
      </c>
      <c r="AM2" t="s">
        <v>62</v>
      </c>
    </row>
    <row r="3" spans="1:39" x14ac:dyDescent="0.35">
      <c r="A3" t="s">
        <v>63</v>
      </c>
      <c r="B3" t="s">
        <v>40</v>
      </c>
      <c r="C3" t="s">
        <v>43</v>
      </c>
      <c r="D3" t="s">
        <v>63</v>
      </c>
      <c r="E3" t="s">
        <v>64</v>
      </c>
      <c r="F3" t="s">
        <v>65</v>
      </c>
      <c r="G3" t="s">
        <v>43</v>
      </c>
      <c r="H3" t="s">
        <v>44</v>
      </c>
      <c r="I3" t="s">
        <v>66</v>
      </c>
      <c r="J3" t="s">
        <v>67</v>
      </c>
      <c r="K3" s="1">
        <v>45835</v>
      </c>
      <c r="L3" s="1">
        <v>45836</v>
      </c>
      <c r="M3" s="1">
        <v>45838.779618055552</v>
      </c>
      <c r="N3" t="s">
        <v>68</v>
      </c>
      <c r="P3" t="s">
        <v>48</v>
      </c>
      <c r="R3" t="s">
        <v>69</v>
      </c>
      <c r="S3" t="s">
        <v>50</v>
      </c>
      <c r="T3" t="s">
        <v>70</v>
      </c>
      <c r="U3" s="1">
        <v>45917</v>
      </c>
      <c r="V3" s="1">
        <v>45917</v>
      </c>
      <c r="X3" t="s">
        <v>71</v>
      </c>
      <c r="Y3" t="s">
        <v>72</v>
      </c>
      <c r="AA3" s="1">
        <v>45917.781377314815</v>
      </c>
      <c r="AB3" t="s">
        <v>73</v>
      </c>
      <c r="AC3" t="s">
        <v>74</v>
      </c>
      <c r="AD3" t="b">
        <v>0</v>
      </c>
      <c r="AE3" t="s">
        <v>75</v>
      </c>
      <c r="AH3" t="s">
        <v>76</v>
      </c>
      <c r="AI3" t="s">
        <v>76</v>
      </c>
      <c r="AJ3" t="s">
        <v>77</v>
      </c>
      <c r="AK3" t="s">
        <v>77</v>
      </c>
      <c r="AL3" t="s">
        <v>61</v>
      </c>
      <c r="AM3" t="s">
        <v>62</v>
      </c>
    </row>
    <row r="4" spans="1:39" x14ac:dyDescent="0.35">
      <c r="A4" t="s">
        <v>78</v>
      </c>
      <c r="B4" t="s">
        <v>40</v>
      </c>
      <c r="C4" t="s">
        <v>41</v>
      </c>
      <c r="D4" t="s">
        <v>78</v>
      </c>
      <c r="F4" t="s">
        <v>42</v>
      </c>
      <c r="G4" t="s">
        <v>43</v>
      </c>
      <c r="H4" t="s">
        <v>79</v>
      </c>
      <c r="I4" t="s">
        <v>66</v>
      </c>
      <c r="J4" t="s">
        <v>80</v>
      </c>
      <c r="K4" s="1">
        <v>45875</v>
      </c>
      <c r="L4" s="1">
        <v>45881</v>
      </c>
      <c r="M4" s="1">
        <v>45881.777615740742</v>
      </c>
      <c r="N4" t="s">
        <v>81</v>
      </c>
      <c r="P4" t="s">
        <v>82</v>
      </c>
      <c r="S4" t="s">
        <v>50</v>
      </c>
      <c r="V4" s="1">
        <v>45881</v>
      </c>
      <c r="X4" t="s">
        <v>83</v>
      </c>
      <c r="Y4" t="s">
        <v>84</v>
      </c>
      <c r="AB4" t="s">
        <v>85</v>
      </c>
      <c r="AC4" t="s">
        <v>86</v>
      </c>
      <c r="AE4" t="s">
        <v>87</v>
      </c>
      <c r="AH4" t="s">
        <v>88</v>
      </c>
      <c r="AI4" t="s">
        <v>89</v>
      </c>
      <c r="AJ4" t="s">
        <v>90</v>
      </c>
      <c r="AL4" t="s">
        <v>61</v>
      </c>
      <c r="AM4" t="s">
        <v>62</v>
      </c>
    </row>
    <row r="5" spans="1:39" x14ac:dyDescent="0.35">
      <c r="A5" t="s">
        <v>91</v>
      </c>
      <c r="B5" t="s">
        <v>40</v>
      </c>
      <c r="C5" t="s">
        <v>41</v>
      </c>
      <c r="D5" t="s">
        <v>91</v>
      </c>
      <c r="F5" t="s">
        <v>42</v>
      </c>
      <c r="G5" t="s">
        <v>43</v>
      </c>
      <c r="H5" t="s">
        <v>79</v>
      </c>
      <c r="I5" t="s">
        <v>66</v>
      </c>
      <c r="J5" t="s">
        <v>92</v>
      </c>
      <c r="K5" s="1">
        <v>45877</v>
      </c>
      <c r="L5" s="1">
        <v>45881</v>
      </c>
      <c r="M5" s="1">
        <v>45881.788449074076</v>
      </c>
      <c r="N5" t="s">
        <v>93</v>
      </c>
      <c r="P5" t="s">
        <v>82</v>
      </c>
      <c r="S5" t="s">
        <v>50</v>
      </c>
      <c r="V5" s="1">
        <v>45881</v>
      </c>
      <c r="X5" t="s">
        <v>83</v>
      </c>
      <c r="Y5" t="s">
        <v>84</v>
      </c>
      <c r="AB5" t="s">
        <v>94</v>
      </c>
      <c r="AC5" t="s">
        <v>86</v>
      </c>
      <c r="AE5" t="s">
        <v>95</v>
      </c>
      <c r="AH5" t="s">
        <v>88</v>
      </c>
      <c r="AI5" t="s">
        <v>89</v>
      </c>
      <c r="AJ5" t="s">
        <v>90</v>
      </c>
      <c r="AL5" t="s">
        <v>61</v>
      </c>
      <c r="AM5" t="s">
        <v>62</v>
      </c>
    </row>
    <row r="6" spans="1:39" x14ac:dyDescent="0.35">
      <c r="A6" t="s">
        <v>96</v>
      </c>
      <c r="B6" t="s">
        <v>40</v>
      </c>
      <c r="C6" t="s">
        <v>41</v>
      </c>
      <c r="D6" t="s">
        <v>96</v>
      </c>
      <c r="F6" t="s">
        <v>97</v>
      </c>
      <c r="G6" t="s">
        <v>43</v>
      </c>
      <c r="H6" t="s">
        <v>79</v>
      </c>
      <c r="I6" t="s">
        <v>66</v>
      </c>
      <c r="J6" t="s">
        <v>98</v>
      </c>
      <c r="K6" s="1">
        <v>45929</v>
      </c>
      <c r="L6" s="1">
        <v>45929</v>
      </c>
      <c r="M6" s="1">
        <v>45930.60465277778</v>
      </c>
      <c r="N6" t="s">
        <v>99</v>
      </c>
      <c r="P6" t="s">
        <v>82</v>
      </c>
      <c r="S6" t="s">
        <v>50</v>
      </c>
      <c r="V6" s="1">
        <v>45930</v>
      </c>
      <c r="X6" t="s">
        <v>52</v>
      </c>
      <c r="Y6" t="s">
        <v>53</v>
      </c>
      <c r="AB6" t="s">
        <v>73</v>
      </c>
      <c r="AC6" t="s">
        <v>100</v>
      </c>
      <c r="AE6" t="s">
        <v>101</v>
      </c>
      <c r="AH6" t="s">
        <v>102</v>
      </c>
      <c r="AI6" t="s">
        <v>89</v>
      </c>
      <c r="AJ6" t="s">
        <v>103</v>
      </c>
      <c r="AL6" t="s">
        <v>61</v>
      </c>
      <c r="AM6" t="s">
        <v>62</v>
      </c>
    </row>
    <row r="7" spans="1:39" x14ac:dyDescent="0.35">
      <c r="A7" t="s">
        <v>104</v>
      </c>
      <c r="B7" t="s">
        <v>40</v>
      </c>
      <c r="C7" t="s">
        <v>41</v>
      </c>
      <c r="D7" t="s">
        <v>104</v>
      </c>
      <c r="F7" t="s">
        <v>97</v>
      </c>
      <c r="G7" t="s">
        <v>43</v>
      </c>
      <c r="H7" t="s">
        <v>79</v>
      </c>
      <c r="I7" t="s">
        <v>66</v>
      </c>
      <c r="J7" t="s">
        <v>105</v>
      </c>
      <c r="K7" s="1">
        <v>45936</v>
      </c>
      <c r="L7" s="1">
        <v>45936</v>
      </c>
      <c r="M7" s="1">
        <v>45937.572013888886</v>
      </c>
      <c r="N7" t="s">
        <v>106</v>
      </c>
      <c r="P7" t="s">
        <v>82</v>
      </c>
      <c r="S7" t="s">
        <v>50</v>
      </c>
      <c r="V7" s="1">
        <v>45937</v>
      </c>
      <c r="X7" t="s">
        <v>107</v>
      </c>
      <c r="Y7" t="s">
        <v>108</v>
      </c>
      <c r="AB7" t="s">
        <v>73</v>
      </c>
      <c r="AC7" t="s">
        <v>100</v>
      </c>
      <c r="AE7" t="s">
        <v>109</v>
      </c>
      <c r="AH7" t="s">
        <v>88</v>
      </c>
      <c r="AI7" t="s">
        <v>89</v>
      </c>
      <c r="AJ7" t="s">
        <v>103</v>
      </c>
      <c r="AL7" t="s">
        <v>61</v>
      </c>
      <c r="AM7" t="s">
        <v>62</v>
      </c>
    </row>
    <row r="8" spans="1:39" x14ac:dyDescent="0.35">
      <c r="A8" t="s">
        <v>110</v>
      </c>
      <c r="B8" t="s">
        <v>40</v>
      </c>
      <c r="C8" t="s">
        <v>41</v>
      </c>
      <c r="D8" t="s">
        <v>110</v>
      </c>
      <c r="F8" t="s">
        <v>111</v>
      </c>
      <c r="G8" t="s">
        <v>43</v>
      </c>
      <c r="H8" t="s">
        <v>79</v>
      </c>
      <c r="I8" t="s">
        <v>66</v>
      </c>
      <c r="J8" t="s">
        <v>112</v>
      </c>
      <c r="K8" s="1">
        <v>45936</v>
      </c>
      <c r="L8" s="1">
        <v>45940</v>
      </c>
      <c r="M8" s="1">
        <v>45943.600972222222</v>
      </c>
      <c r="N8" t="s">
        <v>113</v>
      </c>
      <c r="P8" t="s">
        <v>82</v>
      </c>
      <c r="S8" t="s">
        <v>50</v>
      </c>
      <c r="V8" s="1">
        <v>45943</v>
      </c>
      <c r="X8" t="s">
        <v>52</v>
      </c>
      <c r="Y8" t="s">
        <v>114</v>
      </c>
      <c r="AB8" t="s">
        <v>115</v>
      </c>
      <c r="AC8" t="s">
        <v>100</v>
      </c>
      <c r="AE8" t="s">
        <v>116</v>
      </c>
      <c r="AH8" t="s">
        <v>88</v>
      </c>
      <c r="AI8" t="s">
        <v>89</v>
      </c>
      <c r="AJ8" t="s">
        <v>117</v>
      </c>
      <c r="AL8" t="s">
        <v>61</v>
      </c>
      <c r="AM8" t="s">
        <v>62</v>
      </c>
    </row>
    <row r="9" spans="1:39" x14ac:dyDescent="0.35">
      <c r="A9" t="s">
        <v>118</v>
      </c>
      <c r="B9" t="s">
        <v>40</v>
      </c>
      <c r="C9" t="s">
        <v>43</v>
      </c>
      <c r="D9" t="s">
        <v>118</v>
      </c>
      <c r="E9" t="s">
        <v>119</v>
      </c>
      <c r="F9" t="s">
        <v>120</v>
      </c>
      <c r="G9" t="s">
        <v>43</v>
      </c>
      <c r="H9" t="s">
        <v>121</v>
      </c>
      <c r="I9" t="s">
        <v>122</v>
      </c>
      <c r="J9" t="s">
        <v>123</v>
      </c>
      <c r="K9" s="1">
        <v>45951</v>
      </c>
      <c r="L9" s="1">
        <v>45954</v>
      </c>
      <c r="M9" s="1">
        <v>45957.778124999997</v>
      </c>
      <c r="N9" t="s">
        <v>124</v>
      </c>
      <c r="P9" t="s">
        <v>82</v>
      </c>
      <c r="X9" t="s">
        <v>125</v>
      </c>
      <c r="Y9" t="s">
        <v>126</v>
      </c>
      <c r="AB9" t="s">
        <v>127</v>
      </c>
      <c r="AC9" t="s">
        <v>128</v>
      </c>
      <c r="AE9" t="s">
        <v>129</v>
      </c>
      <c r="AL9" t="s">
        <v>61</v>
      </c>
      <c r="AM9" t="s">
        <v>62</v>
      </c>
    </row>
    <row r="10" spans="1:39" x14ac:dyDescent="0.35">
      <c r="A10" t="s">
        <v>118</v>
      </c>
      <c r="B10" t="s">
        <v>40</v>
      </c>
      <c r="C10" t="s">
        <v>41</v>
      </c>
      <c r="D10" t="s">
        <v>118</v>
      </c>
      <c r="F10" t="s">
        <v>42</v>
      </c>
      <c r="G10" t="s">
        <v>43</v>
      </c>
      <c r="H10" t="s">
        <v>121</v>
      </c>
      <c r="I10" t="s">
        <v>122</v>
      </c>
      <c r="J10" t="s">
        <v>123</v>
      </c>
      <c r="K10" s="1">
        <v>45951</v>
      </c>
      <c r="L10" s="1">
        <v>45954</v>
      </c>
      <c r="M10" s="1">
        <v>45957.778124999997</v>
      </c>
      <c r="N10" t="s">
        <v>124</v>
      </c>
      <c r="P10" t="s">
        <v>82</v>
      </c>
      <c r="X10" t="s">
        <v>125</v>
      </c>
      <c r="Y10" t="s">
        <v>126</v>
      </c>
      <c r="AB10" t="s">
        <v>127</v>
      </c>
      <c r="AC10" t="s">
        <v>128</v>
      </c>
      <c r="AE10" t="s">
        <v>129</v>
      </c>
      <c r="AL10" t="s">
        <v>61</v>
      </c>
      <c r="AM10" t="s">
        <v>62</v>
      </c>
    </row>
    <row r="11" spans="1:39" x14ac:dyDescent="0.35">
      <c r="A11" t="s">
        <v>130</v>
      </c>
      <c r="B11" t="s">
        <v>40</v>
      </c>
      <c r="C11" t="s">
        <v>41</v>
      </c>
      <c r="D11" t="s">
        <v>130</v>
      </c>
      <c r="F11" t="s">
        <v>97</v>
      </c>
      <c r="G11" t="s">
        <v>43</v>
      </c>
      <c r="H11" t="s">
        <v>79</v>
      </c>
      <c r="I11" t="s">
        <v>66</v>
      </c>
      <c r="J11" t="s">
        <v>131</v>
      </c>
      <c r="K11" s="1">
        <v>45959</v>
      </c>
      <c r="L11" s="1">
        <v>45961</v>
      </c>
      <c r="M11" s="1">
        <v>45961.798877314817</v>
      </c>
      <c r="N11" t="s">
        <v>132</v>
      </c>
      <c r="P11" t="s">
        <v>82</v>
      </c>
      <c r="S11" t="s">
        <v>50</v>
      </c>
      <c r="V11" s="1">
        <v>45961</v>
      </c>
      <c r="X11" t="s">
        <v>52</v>
      </c>
      <c r="Y11" t="s">
        <v>114</v>
      </c>
      <c r="AB11" t="s">
        <v>73</v>
      </c>
      <c r="AC11" t="s">
        <v>100</v>
      </c>
      <c r="AE11" t="s">
        <v>133</v>
      </c>
      <c r="AH11" t="s">
        <v>88</v>
      </c>
      <c r="AI11" t="s">
        <v>89</v>
      </c>
      <c r="AJ11" t="s">
        <v>103</v>
      </c>
      <c r="AL11" t="s">
        <v>61</v>
      </c>
      <c r="AM11" t="s">
        <v>62</v>
      </c>
    </row>
    <row r="12" spans="1:39" x14ac:dyDescent="0.35">
      <c r="A12" t="s">
        <v>134</v>
      </c>
      <c r="B12" t="s">
        <v>40</v>
      </c>
      <c r="C12" t="s">
        <v>41</v>
      </c>
      <c r="D12" t="s">
        <v>134</v>
      </c>
      <c r="F12" t="s">
        <v>111</v>
      </c>
      <c r="G12" t="s">
        <v>43</v>
      </c>
      <c r="H12" t="s">
        <v>79</v>
      </c>
      <c r="I12" t="s">
        <v>66</v>
      </c>
      <c r="J12" t="s">
        <v>135</v>
      </c>
      <c r="K12" s="1">
        <v>45973</v>
      </c>
      <c r="L12" s="1">
        <v>45975</v>
      </c>
      <c r="M12" s="1">
        <v>45975.857222222221</v>
      </c>
      <c r="N12" t="s">
        <v>136</v>
      </c>
      <c r="P12" t="s">
        <v>82</v>
      </c>
      <c r="S12" t="s">
        <v>50</v>
      </c>
      <c r="V12" s="1">
        <v>45975</v>
      </c>
      <c r="X12" t="s">
        <v>52</v>
      </c>
      <c r="Y12" t="s">
        <v>114</v>
      </c>
      <c r="AB12" t="s">
        <v>137</v>
      </c>
      <c r="AC12" t="s">
        <v>100</v>
      </c>
      <c r="AE12" t="s">
        <v>138</v>
      </c>
      <c r="AH12" t="s">
        <v>102</v>
      </c>
      <c r="AI12" t="s">
        <v>58</v>
      </c>
      <c r="AJ12" t="s">
        <v>139</v>
      </c>
      <c r="AL12" t="s">
        <v>61</v>
      </c>
      <c r="AM12" t="s">
        <v>62</v>
      </c>
    </row>
    <row r="13" spans="1:39" x14ac:dyDescent="0.35">
      <c r="A13" t="s">
        <v>140</v>
      </c>
      <c r="B13" t="s">
        <v>40</v>
      </c>
      <c r="C13" t="s">
        <v>41</v>
      </c>
      <c r="D13" t="s">
        <v>140</v>
      </c>
      <c r="F13" t="s">
        <v>141</v>
      </c>
      <c r="G13" t="s">
        <v>43</v>
      </c>
      <c r="H13" t="s">
        <v>79</v>
      </c>
      <c r="I13" t="s">
        <v>66</v>
      </c>
      <c r="J13" t="s">
        <v>142</v>
      </c>
      <c r="K13" s="1">
        <v>45996</v>
      </c>
      <c r="L13" s="1">
        <v>45999</v>
      </c>
      <c r="M13" s="1">
        <v>46000.867812500001</v>
      </c>
      <c r="N13" t="s">
        <v>143</v>
      </c>
      <c r="P13" t="s">
        <v>82</v>
      </c>
      <c r="S13" t="s">
        <v>50</v>
      </c>
      <c r="V13" s="1">
        <v>46000</v>
      </c>
      <c r="X13" t="s">
        <v>52</v>
      </c>
      <c r="Y13" t="s">
        <v>114</v>
      </c>
      <c r="AB13" t="s">
        <v>137</v>
      </c>
      <c r="AC13" t="s">
        <v>100</v>
      </c>
      <c r="AE13" t="s">
        <v>144</v>
      </c>
      <c r="AH13" t="s">
        <v>102</v>
      </c>
      <c r="AI13" t="s">
        <v>145</v>
      </c>
      <c r="AJ13" t="s">
        <v>146</v>
      </c>
      <c r="AL13" t="s">
        <v>61</v>
      </c>
      <c r="AM13" t="s">
        <v>62</v>
      </c>
    </row>
    <row r="14" spans="1:39" x14ac:dyDescent="0.35">
      <c r="A14" t="s">
        <v>147</v>
      </c>
      <c r="B14" t="s">
        <v>40</v>
      </c>
      <c r="C14" t="s">
        <v>41</v>
      </c>
      <c r="D14" t="s">
        <v>147</v>
      </c>
      <c r="F14" t="s">
        <v>148</v>
      </c>
      <c r="G14" t="s">
        <v>43</v>
      </c>
      <c r="H14" t="s">
        <v>79</v>
      </c>
      <c r="I14" t="s">
        <v>66</v>
      </c>
      <c r="J14" t="s">
        <v>149</v>
      </c>
      <c r="K14" s="1">
        <v>45994</v>
      </c>
      <c r="L14" s="1">
        <v>46010</v>
      </c>
      <c r="M14" s="1">
        <v>46010.848912037036</v>
      </c>
      <c r="N14" t="s">
        <v>150</v>
      </c>
      <c r="P14" t="s">
        <v>82</v>
      </c>
      <c r="S14" t="s">
        <v>50</v>
      </c>
      <c r="V14" s="1">
        <v>46010</v>
      </c>
      <c r="X14" t="s">
        <v>151</v>
      </c>
      <c r="Y14" t="s">
        <v>152</v>
      </c>
      <c r="AB14" t="s">
        <v>153</v>
      </c>
      <c r="AC14" t="s">
        <v>154</v>
      </c>
      <c r="AE14" t="s">
        <v>155</v>
      </c>
      <c r="AH14" t="s">
        <v>88</v>
      </c>
      <c r="AI14" t="s">
        <v>156</v>
      </c>
      <c r="AJ14" t="s">
        <v>157</v>
      </c>
      <c r="AL14" t="s">
        <v>61</v>
      </c>
      <c r="AM14" t="s">
        <v>62</v>
      </c>
    </row>
    <row r="15" spans="1:39" x14ac:dyDescent="0.35">
      <c r="A15" t="s">
        <v>158</v>
      </c>
      <c r="B15" t="s">
        <v>40</v>
      </c>
      <c r="C15" t="s">
        <v>41</v>
      </c>
      <c r="D15" t="s">
        <v>158</v>
      </c>
      <c r="F15" t="s">
        <v>42</v>
      </c>
      <c r="G15" t="s">
        <v>43</v>
      </c>
      <c r="H15" t="s">
        <v>79</v>
      </c>
      <c r="I15" t="s">
        <v>66</v>
      </c>
      <c r="J15" s="2" t="s">
        <v>159</v>
      </c>
      <c r="K15" s="1">
        <v>46038</v>
      </c>
      <c r="L15" s="1">
        <v>46045</v>
      </c>
      <c r="M15" s="1">
        <v>46045.788981481484</v>
      </c>
      <c r="N15" t="s">
        <v>160</v>
      </c>
      <c r="P15" t="s">
        <v>82</v>
      </c>
      <c r="S15" t="s">
        <v>50</v>
      </c>
      <c r="V15" s="1">
        <v>46045</v>
      </c>
      <c r="X15" t="s">
        <v>71</v>
      </c>
      <c r="Y15" t="s">
        <v>161</v>
      </c>
      <c r="AB15" t="s">
        <v>162</v>
      </c>
      <c r="AC15" t="s">
        <v>163</v>
      </c>
      <c r="AE15" s="2" t="s">
        <v>164</v>
      </c>
      <c r="AH15" t="s">
        <v>88</v>
      </c>
      <c r="AI15" t="s">
        <v>156</v>
      </c>
      <c r="AJ15" t="s">
        <v>157</v>
      </c>
      <c r="AL15" t="s">
        <v>61</v>
      </c>
      <c r="AM15" t="s">
        <v>62</v>
      </c>
    </row>
    <row r="16" spans="1:39" x14ac:dyDescent="0.35">
      <c r="A16" t="s">
        <v>165</v>
      </c>
      <c r="B16" t="s">
        <v>40</v>
      </c>
      <c r="C16" t="s">
        <v>41</v>
      </c>
      <c r="D16" t="s">
        <v>165</v>
      </c>
      <c r="F16" t="s">
        <v>97</v>
      </c>
      <c r="G16" t="s">
        <v>43</v>
      </c>
      <c r="H16" t="s">
        <v>79</v>
      </c>
      <c r="I16" t="s">
        <v>66</v>
      </c>
      <c r="J16" t="s">
        <v>166</v>
      </c>
      <c r="K16" s="1">
        <v>46044</v>
      </c>
      <c r="L16" s="1">
        <v>46048</v>
      </c>
      <c r="M16" s="1">
        <v>46049.654641203706</v>
      </c>
      <c r="N16" t="s">
        <v>167</v>
      </c>
      <c r="P16" t="s">
        <v>82</v>
      </c>
      <c r="S16" t="s">
        <v>50</v>
      </c>
      <c r="V16" s="1">
        <v>46049</v>
      </c>
      <c r="X16" t="s">
        <v>107</v>
      </c>
      <c r="Y16" t="s">
        <v>108</v>
      </c>
      <c r="AB16" t="s">
        <v>73</v>
      </c>
      <c r="AC16" t="s">
        <v>100</v>
      </c>
      <c r="AE16" t="s">
        <v>168</v>
      </c>
      <c r="AH16" t="s">
        <v>88</v>
      </c>
      <c r="AI16" t="s">
        <v>156</v>
      </c>
      <c r="AJ16" t="s">
        <v>157</v>
      </c>
      <c r="AL16" t="s">
        <v>61</v>
      </c>
      <c r="AM16" t="s">
        <v>62</v>
      </c>
    </row>
    <row r="17" spans="1:39" x14ac:dyDescent="0.35">
      <c r="A17" t="s">
        <v>169</v>
      </c>
      <c r="B17" t="s">
        <v>40</v>
      </c>
      <c r="C17" t="s">
        <v>41</v>
      </c>
      <c r="D17" t="s">
        <v>169</v>
      </c>
      <c r="F17" t="s">
        <v>97</v>
      </c>
      <c r="G17" t="s">
        <v>43</v>
      </c>
      <c r="H17" t="s">
        <v>79</v>
      </c>
      <c r="I17" t="s">
        <v>66</v>
      </c>
      <c r="J17" t="s">
        <v>170</v>
      </c>
      <c r="K17" s="1">
        <v>46050</v>
      </c>
      <c r="L17" s="1">
        <v>46052</v>
      </c>
      <c r="M17" s="1">
        <v>46055.794988425929</v>
      </c>
      <c r="N17" t="s">
        <v>171</v>
      </c>
      <c r="P17" t="s">
        <v>82</v>
      </c>
      <c r="S17" t="s">
        <v>50</v>
      </c>
      <c r="T17" t="s">
        <v>172</v>
      </c>
      <c r="V17" s="1">
        <v>46055</v>
      </c>
      <c r="X17" t="s">
        <v>151</v>
      </c>
      <c r="Y17" t="s">
        <v>152</v>
      </c>
      <c r="AB17" t="s">
        <v>173</v>
      </c>
      <c r="AC17" t="s">
        <v>100</v>
      </c>
      <c r="AE17" t="s">
        <v>174</v>
      </c>
      <c r="AH17" t="s">
        <v>77</v>
      </c>
      <c r="AI17" t="s">
        <v>156</v>
      </c>
      <c r="AJ17" t="s">
        <v>157</v>
      </c>
      <c r="AL17" t="s">
        <v>61</v>
      </c>
      <c r="AM17" t="s">
        <v>62</v>
      </c>
    </row>
    <row r="18" spans="1:39" x14ac:dyDescent="0.35">
      <c r="A18" t="s">
        <v>175</v>
      </c>
      <c r="B18" t="s">
        <v>40</v>
      </c>
      <c r="C18" t="s">
        <v>41</v>
      </c>
      <c r="D18" t="s">
        <v>175</v>
      </c>
      <c r="F18" t="s">
        <v>97</v>
      </c>
      <c r="G18" t="s">
        <v>43</v>
      </c>
      <c r="H18" t="s">
        <v>79</v>
      </c>
      <c r="I18" t="s">
        <v>66</v>
      </c>
      <c r="J18" t="s">
        <v>176</v>
      </c>
      <c r="K18" s="1">
        <v>46057</v>
      </c>
      <c r="L18" s="1">
        <v>46059</v>
      </c>
      <c r="M18" s="1">
        <v>46059.748819444445</v>
      </c>
      <c r="N18" t="s">
        <v>177</v>
      </c>
      <c r="P18" t="s">
        <v>82</v>
      </c>
      <c r="S18" t="s">
        <v>50</v>
      </c>
      <c r="V18" s="1">
        <v>46059</v>
      </c>
      <c r="X18" t="s">
        <v>52</v>
      </c>
      <c r="Y18" t="s">
        <v>114</v>
      </c>
      <c r="AB18" t="s">
        <v>115</v>
      </c>
      <c r="AC18" t="s">
        <v>100</v>
      </c>
      <c r="AE18" t="s">
        <v>178</v>
      </c>
      <c r="AH18" t="s">
        <v>179</v>
      </c>
      <c r="AI18" t="s">
        <v>89</v>
      </c>
      <c r="AJ18" t="s">
        <v>117</v>
      </c>
      <c r="AL18" t="s">
        <v>61</v>
      </c>
      <c r="AM18" t="s">
        <v>62</v>
      </c>
    </row>
    <row r="19" spans="1:39" x14ac:dyDescent="0.35">
      <c r="A19" t="s">
        <v>180</v>
      </c>
      <c r="B19" t="s">
        <v>40</v>
      </c>
      <c r="C19" t="s">
        <v>41</v>
      </c>
      <c r="D19" t="s">
        <v>180</v>
      </c>
      <c r="F19" t="s">
        <v>181</v>
      </c>
      <c r="G19" t="s">
        <v>43</v>
      </c>
      <c r="H19" t="s">
        <v>79</v>
      </c>
      <c r="I19" t="s">
        <v>66</v>
      </c>
      <c r="J19" t="s">
        <v>182</v>
      </c>
      <c r="K19" s="1">
        <v>46058</v>
      </c>
      <c r="L19" s="1">
        <v>46062</v>
      </c>
      <c r="M19" s="1">
        <v>46063.951828703706</v>
      </c>
      <c r="N19" t="s">
        <v>183</v>
      </c>
      <c r="P19" t="s">
        <v>82</v>
      </c>
      <c r="S19" t="s">
        <v>50</v>
      </c>
      <c r="V19" s="1">
        <v>46063</v>
      </c>
      <c r="X19" t="s">
        <v>52</v>
      </c>
      <c r="Y19" t="s">
        <v>114</v>
      </c>
      <c r="AB19" t="s">
        <v>73</v>
      </c>
      <c r="AC19" t="s">
        <v>100</v>
      </c>
      <c r="AE19" t="s">
        <v>184</v>
      </c>
      <c r="AH19" t="s">
        <v>88</v>
      </c>
      <c r="AI19" t="s">
        <v>89</v>
      </c>
      <c r="AJ19" t="s">
        <v>103</v>
      </c>
      <c r="AL19" t="s">
        <v>61</v>
      </c>
      <c r="AM19" t="s">
        <v>62</v>
      </c>
    </row>
    <row r="20" spans="1:39" x14ac:dyDescent="0.35">
      <c r="A20" t="s">
        <v>185</v>
      </c>
      <c r="B20" t="s">
        <v>40</v>
      </c>
      <c r="C20" t="s">
        <v>43</v>
      </c>
      <c r="D20" t="s">
        <v>185</v>
      </c>
      <c r="E20">
        <v>1030</v>
      </c>
      <c r="F20" t="s">
        <v>186</v>
      </c>
      <c r="G20" t="s">
        <v>43</v>
      </c>
      <c r="H20" t="s">
        <v>79</v>
      </c>
      <c r="I20" t="s">
        <v>66</v>
      </c>
      <c r="J20" t="s">
        <v>187</v>
      </c>
      <c r="K20" s="1">
        <v>46071</v>
      </c>
      <c r="L20" s="1">
        <v>46071</v>
      </c>
      <c r="M20" s="1">
        <v>46072.704386574071</v>
      </c>
      <c r="N20" t="s">
        <v>188</v>
      </c>
      <c r="P20" t="s">
        <v>82</v>
      </c>
      <c r="S20" t="s">
        <v>50</v>
      </c>
      <c r="V20" s="1">
        <v>46072</v>
      </c>
      <c r="X20" t="s">
        <v>189</v>
      </c>
      <c r="Y20" t="s">
        <v>190</v>
      </c>
      <c r="AB20" t="s">
        <v>191</v>
      </c>
      <c r="AC20" t="s">
        <v>192</v>
      </c>
      <c r="AE20" t="e">
        <f>-Soft screening hold until site is retrained.-SCP and site monitor to be re trained -Escalation to Clinical Team to provide guidance and next steps with the two participants -PDs to be registered in CTMSOnce training requirements have been satisfied, the study Team agreed to lift the Soft hold and screening activities may continue.</f>
        <v>#NAME?</v>
      </c>
      <c r="AH20" t="s">
        <v>88</v>
      </c>
      <c r="AI20" t="s">
        <v>89</v>
      </c>
      <c r="AJ20" t="s">
        <v>90</v>
      </c>
      <c r="AL20" t="s">
        <v>61</v>
      </c>
      <c r="AM20" t="s">
        <v>62</v>
      </c>
    </row>
    <row r="21" spans="1:39" x14ac:dyDescent="0.35">
      <c r="A21" t="s">
        <v>185</v>
      </c>
      <c r="B21" t="s">
        <v>40</v>
      </c>
      <c r="C21" t="s">
        <v>41</v>
      </c>
      <c r="D21" t="s">
        <v>185</v>
      </c>
      <c r="F21" t="s">
        <v>42</v>
      </c>
      <c r="G21" t="s">
        <v>43</v>
      </c>
      <c r="H21" t="s">
        <v>79</v>
      </c>
      <c r="I21" t="s">
        <v>66</v>
      </c>
      <c r="J21" t="s">
        <v>187</v>
      </c>
      <c r="K21" s="1">
        <v>46071</v>
      </c>
      <c r="L21" s="1">
        <v>46071</v>
      </c>
      <c r="M21" s="1">
        <v>46072.704386574071</v>
      </c>
      <c r="N21" t="s">
        <v>188</v>
      </c>
      <c r="P21" t="s">
        <v>82</v>
      </c>
      <c r="S21" t="s">
        <v>50</v>
      </c>
      <c r="V21" s="1">
        <v>46072</v>
      </c>
      <c r="X21" t="s">
        <v>189</v>
      </c>
      <c r="Y21" t="s">
        <v>190</v>
      </c>
      <c r="AB21" t="s">
        <v>191</v>
      </c>
      <c r="AC21" t="s">
        <v>192</v>
      </c>
      <c r="AE21" t="e">
        <f>-Soft screening hold until site is retrained.-SCP and site monitor to be re trained -Escalation to Clinical Team to provide guidance and next steps with the two participants -PDs to be registered in CTMSOnce training requirements have been satisfied, the study Team agreed to lift the Soft hold and screening activities may continue.</f>
        <v>#NAME?</v>
      </c>
      <c r="AH21" t="s">
        <v>88</v>
      </c>
      <c r="AI21" t="s">
        <v>89</v>
      </c>
      <c r="AJ21" t="s">
        <v>90</v>
      </c>
      <c r="AL21" t="s">
        <v>61</v>
      </c>
      <c r="AM21" t="s">
        <v>62</v>
      </c>
    </row>
    <row r="22" spans="1:39" x14ac:dyDescent="0.35">
      <c r="A22" t="s">
        <v>193</v>
      </c>
      <c r="B22" t="s">
        <v>40</v>
      </c>
      <c r="C22" t="s">
        <v>41</v>
      </c>
      <c r="D22" t="s">
        <v>193</v>
      </c>
      <c r="F22" t="s">
        <v>194</v>
      </c>
      <c r="G22" t="s">
        <v>43</v>
      </c>
      <c r="H22" t="s">
        <v>79</v>
      </c>
      <c r="I22" t="s">
        <v>66</v>
      </c>
      <c r="J22" t="s">
        <v>195</v>
      </c>
      <c r="K22" s="1">
        <v>46083</v>
      </c>
      <c r="L22" s="1">
        <v>46084</v>
      </c>
      <c r="M22" s="1">
        <v>46084.677384259259</v>
      </c>
      <c r="N22" t="s">
        <v>196</v>
      </c>
      <c r="P22" t="s">
        <v>82</v>
      </c>
      <c r="S22" t="s">
        <v>50</v>
      </c>
      <c r="V22" s="1">
        <v>46084</v>
      </c>
      <c r="X22" t="s">
        <v>197</v>
      </c>
      <c r="Y22" t="s">
        <v>198</v>
      </c>
      <c r="AB22" t="s">
        <v>199</v>
      </c>
      <c r="AC22" t="s">
        <v>200</v>
      </c>
      <c r="AE22" t="s">
        <v>201</v>
      </c>
      <c r="AH22" t="s">
        <v>88</v>
      </c>
      <c r="AI22" t="s">
        <v>89</v>
      </c>
      <c r="AJ22" t="s">
        <v>103</v>
      </c>
      <c r="AL22" t="s">
        <v>61</v>
      </c>
      <c r="AM22" t="s">
        <v>62</v>
      </c>
    </row>
    <row r="23" spans="1:39" x14ac:dyDescent="0.35">
      <c r="A23" t="s">
        <v>202</v>
      </c>
      <c r="B23" t="s">
        <v>40</v>
      </c>
      <c r="C23" t="s">
        <v>41</v>
      </c>
      <c r="D23" t="s">
        <v>202</v>
      </c>
      <c r="F23" t="s">
        <v>42</v>
      </c>
      <c r="G23" t="s">
        <v>43</v>
      </c>
      <c r="H23" t="s">
        <v>79</v>
      </c>
      <c r="I23" t="s">
        <v>66</v>
      </c>
      <c r="J23" t="s">
        <v>203</v>
      </c>
      <c r="K23" s="1">
        <v>46083</v>
      </c>
      <c r="L23" s="1">
        <v>46085</v>
      </c>
      <c r="M23" s="1">
        <v>46085.726493055554</v>
      </c>
      <c r="N23" t="s">
        <v>204</v>
      </c>
      <c r="P23" t="s">
        <v>82</v>
      </c>
      <c r="S23" t="s">
        <v>50</v>
      </c>
      <c r="V23" s="1">
        <v>46085</v>
      </c>
      <c r="X23" t="s">
        <v>107</v>
      </c>
      <c r="Y23" t="s">
        <v>108</v>
      </c>
      <c r="AB23" t="s">
        <v>115</v>
      </c>
      <c r="AC23" t="s">
        <v>205</v>
      </c>
      <c r="AE23" t="e">
        <f>-For the activated sites, we are coordinating with PXL to obtain a new ECG. -Decisions will be made on a case-by-case basis with clinicians, considering the urgency of each situation. All activated sites will be given priority. -a tracker has also been established to monitor All ECG issues related to QTcF.</f>
        <v>#NAME?</v>
      </c>
      <c r="AH23" t="s">
        <v>88</v>
      </c>
      <c r="AI23" t="s">
        <v>156</v>
      </c>
      <c r="AJ23" t="s">
        <v>206</v>
      </c>
      <c r="AL23" t="s">
        <v>61</v>
      </c>
      <c r="AM23" t="s">
        <v>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039F7BD-CC48-42C1-8F55-D99489D65417}"/>
</file>

<file path=customXml/itemProps2.xml><?xml version="1.0" encoding="utf-8"?>
<ds:datastoreItem xmlns:ds="http://schemas.openxmlformats.org/officeDocument/2006/customXml" ds:itemID="{A62AB3D5-0433-498A-A903-3D9E4CBE534E}">
  <ds:schemaRefs>
    <ds:schemaRef ds:uri="http://schemas.microsoft.com/sharepoint/v3/contenttype/forms"/>
  </ds:schemaRefs>
</ds:datastoreItem>
</file>

<file path=customXml/itemProps3.xml><?xml version="1.0" encoding="utf-8"?>
<ds:datastoreItem xmlns:ds="http://schemas.openxmlformats.org/officeDocument/2006/customXml" ds:itemID="{C13C127C-EA2F-42F8-BBD9-9002FB896F0A}">
  <ds:schemaRefs>
    <ds:schemaRef ds:uri="http://schemas.microsoft.com/office/infopath/2007/PartnerControls"/>
    <ds:schemaRef ds:uri="http://purl.org/dc/elements/1.1/"/>
    <ds:schemaRef ds:uri="http://schemas.microsoft.com/office/2006/documentManagement/types"/>
    <ds:schemaRef ds:uri="http://purl.org/dc/dcmitype/"/>
    <ds:schemaRef ds:uri="http://schemas.microsoft.com/office/2006/metadata/properties"/>
    <ds:schemaRef ds:uri="http://www.w3.org/XML/1998/namespace"/>
    <ds:schemaRef ds:uri="http://purl.org/dc/terms/"/>
    <ds:schemaRef ds:uri="http://schemas.openxmlformats.org/package/2006/metadata/core-properties"/>
    <ds:schemaRef ds:uri="ad2354ec-ddbf-41b3-890e-20218110a5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2026-03-23T16:13:20Z</dcterms:created>
  <dcterms:modified xsi:type="dcterms:W3CDTF">2026-03-23T16:13:34Z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2026-03-23T16:13:20Z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c4f95904-9366-4947-ad9e-9f6b97f1a422</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