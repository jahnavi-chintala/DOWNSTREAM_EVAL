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6/"/>
    </mc:Choice>
  </mc:AlternateContent>
  <xr:revisionPtr revIDLastSave="0" documentId="8_{477DD926-14AD-4F9F-AAA1-87A3EEAAE24D}" xr6:coauthVersionLast="47" xr6:coauthVersionMax="47" xr10:uidLastSave="{00000000-0000-0000-0000-000000000000}"/>
  <bookViews>
    <workbookView xWindow="-27228" yWindow="-336" windowWidth="14400" windowHeight="8172" xr2:uid="{2D1BCF30-7257-4842-8D3B-DF74363F5E65}"/>
  </bookViews>
  <sheets>
    <sheet name="Standard_Quality_Dashboard - Au" sheetId="1" r:id="rId1"/>
  </sheets>
  <calcPr calcId="0" iterateCount="1" calcOnSave="0" concurrentCalc="0"/>
</workbook>
</file>

<file path=xl/calcChain.xml><?xml version="1.0" encoding="utf-8"?>
<calcChain xmlns="http://schemas.openxmlformats.org/spreadsheetml/2006/main">
  <c r="S65" i="1" l="1"/>
  <c r="R69" i="1"/>
  <c r="R71" i="1"/>
</calcChain>
</file>

<file path=xl/sharedStrings.xml><?xml version="1.0" encoding="utf-8"?>
<sst xmlns="http://schemas.openxmlformats.org/spreadsheetml/2006/main" count="4246" uniqueCount="613">
  <si>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</si>
  <si>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</si>
  <si>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</si>
  <si>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</si>
  <si>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</si>
  <si>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</si>
  <si>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</si>
  <si>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</si>
  <si>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</si>
  <si>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</si>
  <si>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</si>
  <si>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</si>
  <si>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</si>
  <si>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</si>
  <si>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</si>
  <si>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</si>
  <si>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</si>
  <si>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</si>
  <si>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</si>
  <si>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</si>
  <si>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</si>
  <si>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</si>
  <si>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</si>
  <si>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</si>
  <si>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</si>
  <si>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</si>
  <si>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</si>
  <si>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</si>
  <si>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</si>
  <si>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</si>
  <si>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</si>
  <si>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</si>
  <si>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</si>
  <si>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</si>
  <si>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</si>
  <si>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AIA-002083</t>
  </si>
  <si>
    <t>QE-076685</t>
  </si>
  <si>
    <t>Completed On Time</t>
  </si>
  <si>
    <t>Minor</t>
  </si>
  <si>
    <t>Pereira, Caio Augusto Dantas</t>
  </si>
  <si>
    <t>BRAZIL</t>
  </si>
  <si>
    <t>C4221016_1128</t>
  </si>
  <si>
    <t>GCP Site Audit</t>
  </si>
  <si>
    <t>One Sub Investigator (FMH) had an active role as "Site break blind" since 24 Nov 2022, according to the IMPALA User Summary report. However, break the blind duty was not delegated to any site staff in the Signature Sheet and Delegation of Duties Log (SSDDL). &amp;nbsp; Ref: [ICH GCP E6 R2 5.5.3]</t>
  </si>
  <si>
    <t>Response is not in scope for Veeva records. Please check root cause and CAPA columns for additional information</t>
  </si>
  <si>
    <t>QE-076685 - Break the blind access to IMPALA incorrectly provided to one Sub-investigator not delegated.PI updated Signature Sheet and Delegation of Duties Log with appropriate task assignment. CRA reviewed changes during the Monitoring Visit scheduled on 4Dec2023 and closed the issue in Issues/Actions Log in Seibel. CRA confirmed the update was made as required in Monitoring Visit Report date 04-14Dec2023 and closed issue ID 1- 4NIP2JL in Siebel.</t>
  </si>
  <si>
    <t>PI updated Signature Sheet and Delegation of Duties Log with appropriate task assignment. Clinical Research Associate (CRA) reviewed changes during the Monitoring Visit (MV) scheduled on 04Dec2023 and closed the issue in Issues/Actions Log in Seibel. CRA will confirm update was made as required in MV Report.Responsible Role: Principal Investigator</t>
  </si>
  <si>
    <t>Anna Russell</t>
  </si>
  <si>
    <t>-</t>
  </si>
  <si>
    <t>Closed</t>
  </si>
  <si>
    <t>IT Systems</t>
  </si>
  <si>
    <t>IT system security threat/compromise (inappropriate use/access, intrusion detection, mgmt/unintended release of non-subj info)</t>
  </si>
  <si>
    <t>NOT APPLICABLE; NOT APPLICABLE</t>
  </si>
  <si>
    <t>VENDOR / CONTRACTOR</t>
  </si>
  <si>
    <t>MODEL 1 - INSOURCED</t>
  </si>
  <si>
    <t>Oncology</t>
  </si>
  <si>
    <t>Wladimir Agostini Medrano</t>
  </si>
  <si>
    <t>GSSO</t>
  </si>
  <si>
    <t>AMERICAS</t>
  </si>
  <si>
    <t>QE-076745</t>
  </si>
  <si>
    <t>Major</t>
  </si>
  <si>
    <t>Protocol procedures were not conducted in compliance with the protocol for 2 out of 4 participants reviewed [C4221016 Protocol Amendment 4: 14 Feb 2023], as evidenced by: 1. Participant 11281002:&amp;nbsp; 1.i. Exclusion criteria N° 16 (Concurrent or previous other malignancy within 2 years of study entry) was met by this participant, since the result of a chest X-ray done in Jan 2023 showed new solid pulmonary nodules, increased size of nodules and progression of lung disease. This information was recorded in the electronic medical record (EMR) progress note dated 16 Feb 2023.&amp;nbsp; Note: during the interview the Principal Investigator mentioned that it was discussed with the study team before including this participant in the study, but documented evidence was not provided to determine if the sponsor reviewed it. 1.ii. Evaluation of inclusion/exclusion criteria was recorded in the electronic medical record (EMR) on 17 Mar 2023, one day after randomizing the participant in the system (confirmation dated 16 Mar 2023). &amp;nbsp;&amp;nbsp; &amp;nbsp; 2. Participant 11281003: "Anxiety crisis" recorded in the EMR in the progress note dated 20 Jul 2023 was not followed up during the next visit (25 Jul 2023) as it was stated that there was no adverse event since the previous visit.</t>
  </si>
  <si>
    <t>1.i.  Correction, corrective actions and preventive actions are Not Applicable as site confirmed that no X-ray was performed in January 2023 for participant 11281002. There is a record in source documentation dated 15Feb2023 of Chest CT performed in January 2023 with evidence of new pulmonary nodules. It was described that these nodules were metastases of primary melanoma and not another malignancy. Principal Investigator confirmed to the Clinical Research Associate (CRA) what was described in the source document and reported that the participant’s melanoma was metastatic due to pulmonary metastases, so pulmonary nodules are not considered another malignancy, as described in exclusion criterion 16. Participant was included to the study meeting all protocol exclusion/inclusion criteria.1.ii.  Site made necessary updates explaining the case in source document. CRA closed Issue ID # 1-4I86P5L in Siebel on 10Oct2023. No further correction required.2. Study Coordinator entered “Anxiety” occurred on 20Jul2023 as Adverse Event to the electronic Case Report Form (eCRF). CRA reviewed the page entered to eCRF and closed the issue in Issues/Actions Log in Seibel. CRA confirmed in Site Management and Monitoring Visit Report dated 21Nov2023-27Nov2023 the review was performed.</t>
  </si>
  <si>
    <t>1.i.  Correction, corrective actions and preventive actions are Not Applicable as site confirmed that no X-ray was performed in January 2023 for participant 11281002. There is a record in source documentation dated 15Feb2023 of Chest CT performed in January 2023 with evidence of new pulmonary nodules. It was described that these nodules were metastases of primary melanoma and not another malignancy. Principal Investigator confirmed to the Clinical Research Associate (CRA) what was described in the source document and reported that the participant’s melanoma was metastatic due to pulmonary metastases, so pulmonary nodules are not considered another malignancy, as described in exclusion criterion 16. Participant was included to the study meeting all protocol exclusion/inclusion criteria.1.ii.  Site made necessary updates explaining the case in source document. CRA closed Issue ID # 1-4I86P5L in Siebel on 10Oct2023. No further correction required.2. Study Coordinator entered “Anxiety” occurred on 20Jul2023 as Adverse Event to the electronic Case Report Form (eCRF). CRA reviewed the page entered to eCRF and closed the issue in Issues/Actions Log in Seibel. CRA will confirm in Monitoring Visit Report (MVR) the review was performed.Responsible Role: Principal Investigator, Site Personnel</t>
  </si>
  <si>
    <t>Protocol Deviations</t>
  </si>
  <si>
    <t>Failure to follow protocol</t>
  </si>
  <si>
    <t>CT02 - Clinical Protocols</t>
  </si>
  <si>
    <t>PRINCIPAL INVESTIGATOR</t>
  </si>
  <si>
    <t>CRA confirmed training was recorded in the training log and new staff was added to Signature Sheet and Delegation of Duties Log.</t>
  </si>
  <si>
    <t>1.ii., 2. Principal Investigator (PI) had a meeting with all study site staff, and it was agreed to include additional site staff (Study Coordinator (SC) and back up SC) to work on the study-related tasks. PI provided additional training to Sub-Investigators regarding the adverse events and source document compliance with (Accurate, Legible, Contemporaneous, Original, Attributable, Complete, Consistent, Enduring, and Available) ALCOACCEA principles. PI also expects decrease of number of issues/errors after the enrollment is stopped. CRA will confirm training is recorded in the training log and new staff is added to Signature Sheet and Delegation of Duties Log and document the site actions in the Monitoring Visit Report that will be scheduled after the target completion date.Responsible Role: Principal Investigator, Site Personnel</t>
  </si>
  <si>
    <t>1.ii Clinical Research Associate (CRA) performed site re-training on (Accurate, Legible, Contemporaneous, Original, Attributable, Complete, Consistent, Enduring, and Available) ALCOACCEA principles during the Monitoring Visit (MV) occurred on 27Nov2023. CRA documented the retraining in the Site Management and Monitoring Report dated 21Nov2023- 27Nov2023 and site training log.2. CRA performed site re-training on Adverse Event (AE)/Serious AE reporting and ALCOACCEA principles during the Monitoring Visit scheduled on 27Nov2023.  CRA documented the retraining in the Site Management and Monitoring Report dated 21Nov2023- 27Nov2023 and site training log.</t>
  </si>
  <si>
    <t>1.ii Clinical Research Associate (CRA) performed site re-training on (Accurate, Legible, Contemporaneous, Original, Attributable, Complete, Consistent, Enduring, and Available) ALCOACCEA principles during the Monitoring Visit (MV)occurred on 27Nov2023.  CRA will document the retraining in the MV Report (MVR) and/or site training log.2. CRA performed site re-training on Adverse Event (AE)/Serious AE reporting and ALCOACCEA principles during the Monitoring Visit scheduled on 27Nov2023.  CRA will document the retraining in the MVR and site training log.Responsible Role: Principal Investigator, Site Personnel</t>
  </si>
  <si>
    <t>QE-076945</t>
  </si>
  <si>
    <t>Adverse event reporting was not performed as required for 1 out of 4 participants reviewed, since the information was not recorded in the electronic Case Report Form (eCRF) [ICH E6 (R2); 4.11.1; Pfizer Protocol C4221016 Amendment # 4: 14 Feb 2023; C4221016 Case Report Form Completion Requirements Version 3.0 dated 23 Aug 2022]. Participant 11281003: a. "Deafness " was registered in the EMR in the progress note dated 17 Mar 2023, but it was not recorded in the eCRF as Adverse Event. b. "Anxiety crisis " and medication prescribed (clonazepam, promethazine, haloperidol) were registered in the EMR in the progress note dated 20 Jul 2023, but neither the Adverse Event nor the Concomitant Medication were recorded in the eCRF. c. According to the progress note dated 07 Aug 2023, "Cancer pain" was still ongoing, but this was not registered in the eCRF Adverse Event log. d. "Productive cough" was registered in the progress noted dated 25 Aug 2023, but it was not registered in the eCRF as Adverse Event</t>
  </si>
  <si>
    <t xml:space="preserve">Study Coordinators accurately entered missing data to electronic Case Report Form (eCRF) on 13Dec2023. Clinical Research Associate (CRA) performed the review and confirm the entries were done as required during Monitoring Visit occurred on 14Dec2023 and closed the issues 1-4NIP2OS and 1-4LGMA7S in Issues/Actions Log in Seibel. </t>
  </si>
  <si>
    <t>6a, 6d Correction:  Study Coordinators will enter missing data to electronic Case Report Form (eCRF) by the next Monitoring Visit scheduled on 11Dec2023. Clinical Research Associate (CRA) will perform the review and confirm the entry was done as required during Monitoring Visit scheduled on 11Dec2023 and close the issue in Issues/Actions Log in Seibel.6b Study Coordinators entered missing data to electronic Case Report Form by the Monitoring Visit occurred on 4Dec2023. CRA will confirm the entry was done as required in Monitoring Visit Report (MVR).6c. Not Applicable. A query was opened by CRA in eCRF before the audit. Site updated the information by 3Oct2023 and CRA reviewed the source and closed the query the same day updates were made. Responsible Role: Site Personnel</t>
  </si>
  <si>
    <t>AE reporting to Sponsor</t>
  </si>
  <si>
    <t>Unreported/undetected AE</t>
  </si>
  <si>
    <t>SITE PERSONNEL</t>
  </si>
  <si>
    <t>QE-076743</t>
  </si>
  <si>
    <t>For 3 of 4 participants reviewed, discrepancies between the source data and the electronic Case Report Form (eCRF) were identified [C4221016 Case Report Form Completion Requirements Version 3.0 dated 23 Aug 2022] 1. Participant 11281002: "Dyspnea on greater efforts" was registered in the electronic medical record (EMR) in the progress note dated 09 Dec 2022, but it was not recorded in the eCRF as Medical History. 2. Participant 11281003: 2.i. According to the diary, last dose of study medication was received by the participant on 13 Jul 2023 and this information was captured in the eCRF, but 06 Jul 2023 was registered in the Serious Adverse Event form (PV202300126077) 2.ii. "Radiation treatment" was started on 31 Jul 2023 as per a progress note registered in the EMR, but this information was not recorded in the eCRF. 2.iii. Participant withdraw consent on 13 Sep 2023 according to the information registered in the EMR, but this information was not entered in the eCRF. 3. Participant 11281004: "Hysterectomy (1993), Menopause (2013) and "Vitiligo" since Mar 2023 were registered in the progress note dated 26 Apr 2023, but this information was not entered in the eCRF as Medical History.</t>
  </si>
  <si>
    <t>1. Participant 11281002:Site entered missing information to electronic Case Report Form(eCRF) on 13Dec2023. Clinical Research Associate (CRA) performed the review and confirmed the entry was done as required during Monitoring Visit occurred on 14Dec2023.2. Participant 11281003: 2.i. Site staff confirmed that the correct information is present in participant's diary, and it was recorded in source document by pharmacy team. Serious Adverse Event (SAE) Form was updated on 01Nov23.2.i, ii, iii Site entered missing data to eCRF on 01Nov23. CRA performed the review and confirmed the entries were done as required in Monitoring Visit Report dated 21Nov-27Nov2023.</t>
  </si>
  <si>
    <t>1. Participant 11281002:Site will enter missing information to electronic Case Report Form(eCRF) by 11Dec2023. Clinical Research Associate (CRA) will perform the review and confirm the entry was done as required during Monitoring Visit scheduled on 11Dec2023.2. Participant 11281003: 2.i. Site staff confirmed that the correct information is present in participant's diary, and it was recorded in source document by pharmacy team. Serious Adverse Event (SAE) Form was updated on 01Nov23.2.ii, iii Site entered missing data to eCRF on 01Nov23. CRA performed the review and closed the issue in Issues/Actions Log in Seibel. CRA will confirm the entry was done as required in Monitoring Visit Report.Responsible Role: Site Personnel</t>
  </si>
  <si>
    <t>Data Collection and Management</t>
  </si>
  <si>
    <t>Incomplete or inaccurate data transcription and/or entry</t>
  </si>
  <si>
    <t>Site entered missing data to eCRF by the Monitoring Visit occurred on 13Nov2023. CRA performed the review and confirmed the entry was done as required (issue was closed in Issues/Actions Log in Seibel). CRA additionally confirmed the missing data was entered as required in Site Management and Monitoring Report dated 21Nov2023-27Nov2023.</t>
  </si>
  <si>
    <t>3. Participant 11281004: Site entered missing data to eCRF by the Monitoring Visit occurred on 13Nov2023. CRA performed the review and confirmed the entry was done as required (issue was closed in Issues/Actions Log in Seibel).Responsible Role: Site Personnel</t>
  </si>
  <si>
    <t>QE-076748</t>
  </si>
  <si>
    <t>Serious Adverse event (SAE) reporting and follow up were not performed as required for 1 out of 3 participants with SAEs reported [ICH E6 (R2); 4.11.1 and Pfizer Protocol C4221016 Amendment # 4: 14 Feb 2023]. &amp;nbsp; &amp;nbsp; &amp;nbsp; &amp;nbsp; &amp;nbsp; &amp;nbsp; &amp;nbsp; &amp;nbsp; Participant 11281002: the following queries related to reported Serious Adverse Events sent through Pfizer Serious Adverse Events Submission Assistant (PSSA) system were not responded by the site at the time of the audit: a. PV202300086437: queries sent on 26Sep2023:&amp;nbsp; 1. Please reflect in the PSSA field the death details (date of death, cause of death, autopsy performed). 2. Please kindly confirm if Death should be added as seriousness criteria for SAE dyspnea. &amp;nbsp; 3. Please confirm if "respiratory failure, bacterial pneumonia and malignant neoplasm" meets any seriousness criteria and consider as reportable SAE. If confirm yes, please provide in SAE form on SAE section along with the information of investigator causality assessment of blinded therapy, concomitant drugs and clinical trial procedure. If not, please explicitly clarify it in narrative.&amp;nbsp; b. PV202300069999: query sent on 12 Sep 2023 and reminder sent on 02 Oct 2023: Please confirm the formulation of Encorafenib tablet or capsule</t>
  </si>
  <si>
    <t>Query PV202300086437 was answered by the site on 01Nov2023.Query PV202300069999 was answered by the site on 01Nov2023.Clinical Research Associate (CRA) performed review and reconciliation of information in the source documentation, Safety database and information entered to electronic Case Report Form (eCRF) for the listed Serious Adverse Event queries during subsequent monitoring visit. Review was confirmed to be completed in Site Management and Monitoring Visit Report dated 21Nov2023-27Nov2023.</t>
  </si>
  <si>
    <t>Query PV202300086437 was answered by the site on 01Nov2023.Query PV202300069999 was answered by the site on 01Nov2023.Clinical Research Associate (CRA) will perform review and reconciliation of information in the source documentation, Safety database and information entered to electronic Case Report Form (eCRF) for the listed Serious Adverse Event queries during subsequent monitoring visit. Review will be completed in Monitoring Visit Report.Responsible Role: Site Personnel</t>
  </si>
  <si>
    <t>Incomplete SAE reporting</t>
  </si>
  <si>
    <t>Principal Investigator (PI) had a meeting with all study site staff, and it was agreed to include additional site staff (Study Coordinator (SC) and back-up SC) to work on the study-related tasks. PI provided additional training to Sub-Investigators regarding the adverse events and source document compliance with (Accurate, Legible, Contemporaneous, Original, Attributable, Complete, Consistent, Enduring, and Available) ALCOACCEA principles. PI also expects decrease of number of issues/errors after the enrollment is stopped. CRA will confirm training is recorded in the training log and new staff is added to Signature Sheet and Delegation of Duties Log and document the site actions in the Monitoring Visit Report that will be scheduled after the target completion date. Responsible Role: Principal Investigator, Site Personnel</t>
  </si>
  <si>
    <t>Clinical Research Associate (CRA) performed site re-training on Adverse Event (AE)/Serious AE reporting and SAE query resolution in Pfizer Serious Adverse Events Submission Assistant (PSSA) during the Remote Monitoring Visit occurred on 27Nov2023. CRA documented the retraining in the Site Management and Monitoring Visit Report dated 21Nov2023-27Nov2023.</t>
  </si>
  <si>
    <t>Clinical Research Associate (CRA) performed site re-training on Adverse Event (AE)/Serious AE reporting and SAE query resolution in Pfizer Serious Adverse Events Submission Assistant (PSSA) during the Remote Monitoring Visit occurred on 01Nov2023. CRA will document the retraining in the Monitoring Visit Report and site training log on the Onsite Monitoring Visit scheduled on 27Nov2023. Responsible Role: Site Personnel</t>
  </si>
  <si>
    <t>QE-076749</t>
  </si>
  <si>
    <t>Source documents (SDs) did not fulfil ALCOACCEA criteria (Accurate, Legible, Contemporaneous, Original, Attributable, Complete, Consistent, Enduring, &amp;amp; Available) for 3 out of 4 participants reviewed, as they were not contemporaneous, not consistent and/or not accurate [Pfizer Protocol C4221016 Amendment # 4: 14 Feb 2023, ICH E6 (R2); 2.10, 4.9.0 4.9.1, 4.9.3] 1. Participant 11281002: 1.i.&amp;nbsp; Awareness date of additional information received (Death) related to Serious Adverse Event (SAE) PV202300086437 was not recorded in the EMR; therefore, it was not possible to confirm if the awareness date recorded in the SAE form (01 Jun 2023) was accurate. 1.ii. Laboratory results corresponding to Cycle 2 Day 1 (05 Apr 2023), that were received on 15 Apr 2023, were signed/assessed by the Principal Investigator with delay, on 05 Sep 2023. 2. Participant 11281003: 2.i. Information about date of participant’s hospitalization was not accurately reported in the progress note dated 25 Jul 2023. It was registered from 17 Jul 2023 to 19 Mar 2023 instead of from 17 Jul 2023 to 19 Jul 2023, as it was stated in the previous progress notes. &amp;nbsp; 3. Participant 11281004: 3.i. Laboratory results corresponding to Cycle 1 Day 1 (27 Apr 2023), that were received on 05 May 2023, were signed/assessed by the Principal Investigator with delay, on 05 Sep 2023.</t>
  </si>
  <si>
    <t xml:space="preserve">1.i Study Coordinator confirmed that information was updated in source document after Clinical Research Associate (CRA) revealed and discussed this issue with site team during the Monitoring Visit on 25Sep2023. Necessary updates were made by the site by the next Monitoring Visit occurred on 3Oct2023. CRA reviewed the updated source document during the Monitoring Visit performed on 3Oct2023 and closed the issue ID 1-4JZGQE2 in Seibel. 1.ii., 3.i. Principal Investigator (PI) confirmed that the exam results were reviewed as soon as they were available on the system but were signed at a later date. CRA requested the PI to include an update to source document explaining what had happened. PI completed the action by 4Dec2023.  CRA reviewed the updated source document during the Monitoring Visit performed on 4Dec2023 and closed the issues ID 1-4NIP2LV and ID 1-4NIP2LQ in Seibel.  2.i. Sub-Investigator confirmed that source documents were updated on 27 Sep2023 with the correct date of hospitalization (19Mar23 to 17Jul23).  CRA reviewed the source documents and confirm updates were made by SI as required during the Monitoring Visit performed on 4Dec2023.  </t>
  </si>
  <si>
    <t>1.i Study Coordinator confirmed that information was updated in source document after Clinical Research Associate (CRA) revealed and discussed this issue with site team during the Monitoring Visit on 25Sep2023. Necessary updated were made by the site by the next Monitoring Visit occurred on 3Oct2023. CRA reviewed the updated source document during the Monitoring Visit performed on 3Oct2023 and closed the issue ID 1-4JZGQE2 in Seibel.1.ii., 3.i. Principal Investigator (PI) confirmed that the exam results were reviewed as soon as they were available on the system but were signed at a later date. CRA requested the PI to include an update to source document explaining what had happened. PI to complete the action by 15Dec2023. Update was made as requested. CRA will confirm the entry was done as required in Monitoring Visit Report (MVR).2.i. Sub-Investigator confirmed that source documents were updated on 27 Sep2023 with the correct date of hospitalization (19Mar23 to 17Jul23). 1.ii., 2.i. and 3.i CRA performed the review and confirmed the entries were done as required during Monitoring Visit occurred on 4Dec2023. CRA will confirm the entry was done as required in MVR.Responsible Role: Site Personnel</t>
  </si>
  <si>
    <t>Inadequate source data/documentation</t>
  </si>
  <si>
    <t>QE-076671</t>
  </si>
  <si>
    <t>Investigational Product Accountability Logs (IPALs) were not properly completed, as evidenced by: &amp;nbsp; &amp;nbsp; &amp;nbsp; &amp;nbsp; &amp;nbsp; &amp;nbsp; &amp;nbsp; &amp;nbsp; a. Binimetinib / Placebo for Binimetinib IPAL: subject return field corresponding to the container 857-459-225, assigned to participant 11281003 (randomization # 5050) was not completed. New container was dispensed on 06 Jul 2023. &amp;nbsp; b. Encorafenib / Placebo for Encorafenib IPAL: subject return field corresponding to the containers 38615 and 18521, assigned to the participant 11281006 (randomization # 3035) was not completed. New containers were dispensed on 19 Sep 2023. &amp;nbsp; Ref: [ICH E6 (R2); 4.6, 4.9.3 and Pfizer C4221016 Protocol (Amendment # 4: 14 Feb 2023)]</t>
  </si>
  <si>
    <t>Site updated IPALs by 4Dec2023. Clinical Research Associate (CRA) performed the review and closed the issues IDs 1-4NJBRXM, 1-4NJBRXQ in Issues/Actions Log in Seibel. CRA confirmed updates were made as required in Monitoring Visit Report dated 4Dec-14Dec2023.</t>
  </si>
  <si>
    <t>Site updated IPALs by 4Dec2023. Clinical Research Associate (CRA) performed the review and closed the issue in Issues/Actions Log in Seibel. CRA will confirm updates were made as required in Monitoring Visit Report.Responsible Role: Site Personnel</t>
  </si>
  <si>
    <t>Medicinal Product</t>
  </si>
  <si>
    <t>Inadequate accountability/record keeping</t>
  </si>
  <si>
    <t>QE-076751</t>
  </si>
  <si>
    <t>Monitoring activities were no adequate with regards to issue detection/resolution and/or documentation [ICH E6 (R2); 5.18; Pfizer Protocol C4221016 Amendment # 4: 14 Feb 2023; Pfizer C4221016 Monitoring Plan Version 5 (effective: 27 Feb 2023)] &amp;nbsp; The following issues were not detected/documented: study procedures not conducted according to the protocol (finding QE-076745), queries related to reported Serious Adverse Events sent through Pfizer Serious Adverse Events Submission Assistant (PSSA) system not responded by the site (finding QE-076748), adverse events not recorded in the electronic Case Report Form (finding QE-076945), discrepancies between source data and Case Report Form (finding QE-076743), break the blind access to IMPALA incorrectly provided to one Sub-investigator not delegated (finding QE-076685)</t>
  </si>
  <si>
    <t>QE-076745 - Study procedures not conducted according to the protocol.Correction is Not Applicable. Clinical Research Associate (CRA) has again reviewed the participant's source document in relation to eligibility and confirmed that the issue is not a protocol violation, as described in Major finding #1 / QE-076745.For QE-076945 - Adverse events (AEs) not recorded in the electronic Case Report Form(eCRF), QE-076743 - Discrepancies between source and eCRF and QE-076748 - Queries related to reported Serious Adverse Events (SAEs) sent through Pfizer Serious Adverse Events Submission Assistant (PSSA) system not responded by the site, the CRA ensured corrections for the examples noted in these audit observations are followed to conclusion and documented as completed, the comments on CRA actions are provided for each observation within  corresponding Corrective and Preventive Actions.QE-076685 - Break the blind access to IMPALA incorrectly provided to one Sub-investigator not delegated.PI updated Signature Sheet and Delegation of Duties Log with appropriate task assignment. CRA reviewed changes during the Monitoring Visit scheduled on 4Dec2023 and closed the issue in Issues/Actions Log in Seibel. CRA confirmed the update was made as required in Monitoring Visit Report date 04-14Dec2023 and closed issue ID 1- 4NIP2JL in Siebel.</t>
  </si>
  <si>
    <t>QE-076745 - Study procedures not conducted according to the protocol.Correction is Not Applicable. Clinical Research Associate (CRA) has again reviewed the participant's source document in relation to eligibility and confirmed that the issue is not a protocol violation, as described in Major finding #1 / QE-076745.For QE-076945 - Adverse events (AEs) not recorded in the electronic Case Report Form(eCRF), QE-076743 - Discrepancies between source and eCRF and QE-076748 - Queries related to reported Serious Adverse Events (SAEs) sent through Pfizer Serious Adverse Events Submission Assistant (PSSA) system not responded by the site, the CRA will ensure corrections for the examples noted in these audit observations are followed to conclusion and documented as completed, the CRA will ensure corrections for the examples noted in these audit observations are followed to conclusion and documented as completed.QE-076685 - Break the blind access to IMPALA incorrectly provided to one Sub-investigator not delegated.PI updated Signature Sheet and Delegation of Duties Log with appropriate task assignment. CRA reviewed changes during the Monitoring Visit scheduled on 4Dec2023 and closed the issue in Issues/Actions Log in Seibel. CRA will confirm update was made as required in Monitoring Visit Report (MVR). Responsible Role: Clinical Research Associate</t>
  </si>
  <si>
    <t>Site Management and Monitoring</t>
  </si>
  <si>
    <t>Failure to detect/document</t>
  </si>
  <si>
    <t>INV04 - Investigational Site Management and Monitoring</t>
  </si>
  <si>
    <t>CRA was re-trained on INV02-INV04- GSOP-RF01i 9.0 ISSUES AND ACTIONS LOG COMPLETION INSTRUCTIONS on 08Jan2024. Training log was signed on 10Jan2024.</t>
  </si>
  <si>
    <t>QE-076748 - Queries related to reported Serious Adverse Events sent through Pfizer Serious Adverse Events Submission Assistant (PSSA) system not responded by the site.Clinical Research Associate (CRA) to escalate the issue to Site Care Partner (SCP) for support in case issues were not completed due to site-non-responsiveness after 2 attempts to reach out to the site.QE-076685 - Break the blind access to IMPALA incorrectly provided to one Sub-investigator not delegated.CRA will be re-trained on Siebel Issues and Actions Log completion.Responsible Role:  regional Clinical Operations Lead</t>
  </si>
  <si>
    <t xml:space="preserve">CRA increased both time on site and frequency of monitoring visits performing 4 days on site per month starting November 2023. </t>
  </si>
  <si>
    <t>QE-076945 and QE-076743 Clinical Research Associate will increase monitoring time on the site due to multiple issues require resolution, complexity of the source documents for review and rapid enrolment at the site. CRA handed over 4 out for her 6 sites to the new CRA. Responsible Role: Clinical Research Associate</t>
  </si>
  <si>
    <t>QE-076755</t>
  </si>
  <si>
    <t>Query resolution was not in accordance with the Case Report Form (CRF) Completion Guidelines, which required queries to be resolved within ten business days [C4221016 Case Report Form Completion Requirements Version 3.0 dated 23 Aug 2022], as evidenced by: 1. Participant 11281002: Cycle 2 Day 1 visit: there were opened queries since 14 Sep 2023 and no response was provided. 2. Participant 11281003: Adverse events log: there were opened queries since 25 Aug, 31 Aug and 05 Sep 2023 and no response was provided.</t>
  </si>
  <si>
    <t>Mentioned queries were resolved by Study Coordinators by 31Oct2023.  Clinical Research Associate performed the review and confirmed the entry was done as required during Monitoring Visit scheduled on 27Nov2023. Confirmation is provided in Site Management and Monitoring Report (Start date 21Nov2023, End date -27Nov2023).</t>
  </si>
  <si>
    <t>Mentioned queries were resolved by Study Coordinators by 31Oct2023.  Clinical Research Associate will perform the review and confirm the entry was done as required during Monitoring Visit scheduled on 27Nov2023.Responsible Role: Site Personnel</t>
  </si>
  <si>
    <t>AIA-002082</t>
  </si>
  <si>
    <t>QE-096869</t>
  </si>
  <si>
    <t>Fourie, Samuel Johannes</t>
  </si>
  <si>
    <t>SOUTH AFRICA</t>
  </si>
  <si>
    <t>C4221016_1135</t>
  </si>
  <si>
    <t>Source documentation for 2 of 2 patients could not be found in the patient binders. [ICH E6 (R2) 4.9.0]. Unable to find source record to confirm data entered into the electronic Case Report Form (eCRF): a) For Patient 11351005 it was not possible to find &amp;nbsp;the source record to confirm the start date of anxiety that has been entered in the Significant Medical History eCRF as UKN/UKN/ 2018 the current medication listing on the site’s worksheet recorded the start date of anxiety as 2022 and the start date of concomitant medication of Tripiline 25 as 2022. b) For Patient 11351005, the concomitant medication of Tripline had a start date of UKN/UKN/2018 entered into the Con Med Log eCRF but the source record to confirm this start date could not be found, only the start date of "Tipiline 2022" was recorded in the site's worksheets.</t>
  </si>
  <si>
    <t>Discussion performed and corrections in source updated during the visit of 28-29 Feb 2024.This is annotated in the corresponding MV report.</t>
  </si>
  <si>
    <t>Clinical Research Associate (CRA) will discuss with the Principal Investigator (PI) the noted issues regarding the source document could not be found in the patient binder, request PI to further communicate with participant 11351005 for start date of anxiety and concomitant medication if site personnel still cannot locate the missing source document. Clinical Research Associate (CRA) will request PI to add the clarification to explain the discrepancy of start date of anxiety and concomitant in the source document. Clinical Research Associate (CRA) will ask Study Coordinator (SC) to update electronic Case Report Form (eCRF) based on the new updated information by PI. CRA will perform SDR and SDV and in the next monitoring visit and document the review in the respective monitoring visit report.</t>
  </si>
  <si>
    <t>Marelize Grobbelaar</t>
  </si>
  <si>
    <t>Legodi, Lebogang</t>
  </si>
  <si>
    <t>EMEA</t>
  </si>
  <si>
    <t>QE-096833</t>
  </si>
  <si>
    <t>For 5 of 48 investigational product shipments sent to the investigator site the temperature device triggered an inaccurate temperature excursion [Investigational Product Manual (Version 4.0: 27 Apr 2023) and ICH E6 (R2) 5.14.5]. Six shipments triggered a Temperature Excursion Alert, however, on review by Pfizer Global Clinical Supply (PGS), 5 of these shipments did not go out of range. PGS stated during the investigations that the device used by the depot had more restrictive settings than for other depots resulting in triggering potential temperature excursions. PGS also confirmed that the kits included in the shipments were acceptable for use and the status of the individual kits were updated to show that they were available in IMPALA although the shipment would retain the status of "Quarantined". • &amp;nbsp;Shipment ID 1788649 received on 24 Mar 2023 was the subject of an auto-triggered suspected excursion, but on review by PGS, the supplies contained in the shipment were deemed acceptable for use on 30 Mar 2023. (reference JTE-6714). • &amp;nbsp;Shipment ID 1815296 received on 19 Nov 2023 was the subject of an auto-triggered suspected excursion but on review by PGS, the supplies contained in the shipment were deemed acceptable for use on 20 Nov 2023 (reference JTE-14788). • &amp;nbsp;Shipment ID 1815897 received on 23 Nov 2023 was the subject of an auto-triggered suspected excursion but on review by PGS, the supplies contained in the shipment were deemed acceptable for use on 27 Nov 2023. (reference JTE-14904). • &amp;nbsp;Shipment ID 1820573 received on 04 Jan 2024 was the subject of an auto-triggered suspected excursion but on review by PGS, the supplies contained in the shipment were deemed acceptable for use on 9 Jan 2024. Note, in this instance the shipment status was set to "released" (reference JTE-16055). • Shipment ID 1822089 received on 09 Jan 2024 was the subject of an auto-triggered suspected temperature excursion but on review by PGS, the supplies contained in the shipment were deemed acceptable for use on 09 Jan 2024 (JTE unknown).</t>
  </si>
  <si>
    <t xml:space="preserve">Sponsor followed up with the vendor and the issue was resolved. Alerts are no longer received at site. </t>
  </si>
  <si>
    <t>The sponsor to communicate with the vendor to correct this issue.</t>
  </si>
  <si>
    <t>Inadequate handling, storage, availability</t>
  </si>
  <si>
    <t>IP13 - Study Investigational Product Supplies</t>
  </si>
  <si>
    <t>PFIZER</t>
  </si>
  <si>
    <t>QE-096831</t>
  </si>
  <si>
    <t>Complete Late</t>
  </si>
  <si>
    <t>One essential document in the Trial Master File was inaccurate [Pfizer SOP CT01 GSOP 8.0 Trial Master Files (effective: 03 Oct 2022)]. &amp;nbsp; The&amp;nbsp;following&amp;nbsp;details&amp;nbsp;in&amp;nbsp;the&amp;nbsp;Investigator&amp;nbsp;Initiation&amp;nbsp;Package&amp;nbsp;dated&amp;nbsp;28&amp;nbsp;Jul&amp;nbsp;2022&amp;nbsp;were&amp;nbsp;inaccurate: &amp;nbsp; a) Protocol amendment 1 was dated 31 Mar 2021 but within the document history of the protocol amendment 1 version date was 21 Mar 2021. b) Protocol amendment 2 was dated 21 Dec 2021, but within the document history of the protocol amendment 2 version date was 02 Dec 2021.</t>
  </si>
  <si>
    <t>Note to File was created and filed to PTMF</t>
  </si>
  <si>
    <t>File note to explain the error to be crated and to be filed in PTMF.</t>
  </si>
  <si>
    <t>Document Management</t>
  </si>
  <si>
    <t>Missing document</t>
  </si>
  <si>
    <t>CT01 - Trial Master Files</t>
  </si>
  <si>
    <t>QE-095646</t>
  </si>
  <si>
    <t>The oversight of study personnel by the Principal Investigator (PI) was inadequate [Pfizer Protocol C4221016 (Amendment 4: 14 Feb 2023)]. 1. The primary Study Coordinator (SC) had completed the quality control of the dispensed product on the investigational product accountability logs but had not been delegated to this task on the Signature Sheet and Delegations of Duties Log (SSDDL). 2.The following site personnel had been assigned to the study prior to the PI approval that was documented on the SSDDL: a) The SSDDL recorded the delegation of 4 Sub Investigators, 2 Site Coordinators, 3 Study Nurses and 1 Pharmacist on 29 Aug 2022 &amp;nbsp;but the PI did not sign the delegation until 10 Oct 2022.&amp;nbsp; b) The SSDDL recorded the delegation of 2 Study Nurses on 07 Mar 2023 but was not signed by the PI until 26 Jul 2023. c) The SSDDL recorded the delegation of a site Pharmacist on 18 Jul 2023 but the PI did not sign until 26 Jul 2023. 3. One Study Coordinator who completed the electronic Case Report Form (eCRF) Inform training on 18 Jul 2023 and had an authorized Inform account (from 19 Jul 2023) was not delegated on the study according to the SSDDL. The same SC had an Interactive Response Technology (IRT) account in IMPALA since 20 Jul 2023 (training was completed on 18 Jul 2023). A file note was documented on 22 Jan 2024 advising that the SSDDL with her delegation from beginning Dec 2023 had been mislaid. 4. Site staff had recorded self-training for Protocol Amendment 4 using the available slides as documented on the site's training log but was not in line with the Pfizer C4221016 Study Training Plan. 5.  Patient 11351102 had discontinued from the study but the YPrime diary was still in an active state.</t>
  </si>
  <si>
    <t>Issue was discussed with the site during the MV 28-29 Feb 2024, PI was in an accident and NTF could not yet be signed.  NTF was created and will be filed as soon as the signatures are obtained. NTF was signed and filed to PTMF on 12Jul24</t>
  </si>
  <si>
    <t>Study Manager, Site Care Partner, and Clinical Research Associate (CRA), had a meeting on 05Mar24 to discuss the practice at site for self-paced training and recording there off.  The CRA will work with the site Principal Investigator to create a Note to File to explain the process according to the study training plan. 1.         PI will review the date when primary Study Coordinator (SC) completed the Investigational Product training. PI to explain in a NTF (Note to File) or the Staff Delegation of Duties Log (SSDDL) why the SC had not been delegated in the SSDDL. PI will update the SSDDL so it reflects the correct delegation of tasks to SC. 2. PI will review the date when the Sub-Investigators (SI), Site Coordinators, Study Nurses and Pharmacist were trained in the study protocol and required study guidance and plan. PI to explain the why PI’s approval was missing when site personnel assigned to the study, explain in the NTF (Note to File) or Staff Delegation of Duties Log (SSDDL).Site personnel will check if the SSDDL noted as mislaid in the 22Jan2024 NTF can be found. If not found, or if found but delegation is incorrect, PI to explain why delegation was not conducted in timely manner, update in the NTF (Note to File) or Staff Delegation of Duties Log (SSDDL) so it reflects the correct delegation of tasks to SC. 5.         Site personnel will ensure the  YPrime diary for participant 11351002 has been made inactive. 1, 2, 3, 4 and 5: Clinical Research Associate (CRA) will perform Source Document Review (SDR) and Source Data Verification (SDV) and in the next monitoring visit and document the review in the respective monitoring visit report.</t>
  </si>
  <si>
    <t>Quality Oversight</t>
  </si>
  <si>
    <t>Inadequate Principal Investigator quality oversight</t>
  </si>
  <si>
    <t>CRA discussed the issue with the PI and site during the visit of 28-29 Feb 2024.  It was suggested that the PI signs the source after CT scans. This discussion was only with the SC as the PI was not available. SC confirmed that the patients are discussed during weekly meetings on site, documentation of this discussions are available on site.CRA had a call with the PI on 12Jun24 to discuss and confirm.</t>
  </si>
  <si>
    <t>The Clinical Research Associate (CRA) will discuss the possibility of implementing additional source to make PI oversight more visible. The Clinical Research Associate (CRA) will also discuss with the site the importance of delegate site staff in a timely manner. CRA to retrain the site accordingly and training will be added to the site training log.  Comments on the corrections will be added to the Monitoring Visit report of the visit scheduled for 29Feb24 – 02 Mar24 and April 2024.</t>
  </si>
  <si>
    <t>Actions was discussed during weekly meetings after the audit.</t>
  </si>
  <si>
    <t>PAREXEL Clinical Operation Lead (COL) will remind Parexel CRA during the CRA meeting, the topic is to check during the Monitoring Visit (MV) the delegation of study duties to confirm that the site staff have completed the required study trainings according with their study tasks and responsibilities and discuss the issues detected during MV with PI and send the MV follow up letter to Principal Investigator (PI) to have an oversight of the status of the study at her/his site.</t>
  </si>
  <si>
    <t>QE-095636</t>
  </si>
  <si>
    <t>The investigational product (IP) documentation was inadequate for 3 of 3 patients reviewed [Investigational Product Manual (Version 4.0: 27 Apr 2023)]. 1. Inaccurate documentation of the study intervention doses: For the IP administrations on  23 Nov 2022, 13 Dec 2022 , 3 Jan 2023, 24 Jan 2023, 15 Feb 2023, 10 Mar 2023, and 31 Mar 2023&amp;nbsp;  for Patient 11351001, the prescription and the dosing chart for study intervention with doses of Encorafenib/placebo 75mg QD and Binimetinib/placebo of 15mg BID recorded that the dose given was corrected by the Study Coordinator (amended to 450mg and 45mg). However, the Study Nurse who had administered the doses had not countersigned next to the corrections.&amp;nbsp; 2. Inadequate documentation of the preparation of the infusion of Pembrolizumab: a) &amp;nbsp;For 3 of 3 patients reviewed, the time study intervention Pembrolizumab was taken out of the fridge and the preparation start time that were recorded on the Randomization Confirmation Sheets were not initialed or dated. b) &amp;nbsp;The preparation start times for the infusions were not recorded consistently, i.e., the Pharmacist stated that the preparation start time was 10 minutes after the product had been taken out of the refrigerator, however examples below demonstrate where the preparation start times were not 10-15 minutes after taking out of the refrigerator: i. Patient 11351001: - &amp;nbsp;On 15 Feb 2023 (Cycle 5 Day 1) the time when the IP was taken out of the refrigerator was recorded as 11:05 on the kit assignment confirmation report and preparation start time was also recorded as 11:05 in the IV infusion Preparation Record form. ii. Patient 11351002: &amp;nbsp;- On 17 Dec 2022 (Cycle 1 Day 1) the time when the IP was taken out of the refrigerator was not recorded but the preparation start time was recorded as 13:50 on the kit assignment confirmation report. However on the IV infusion Preparation Record form the preparation start time was recorded as 13:40.</t>
  </si>
  <si>
    <t xml:space="preserve">Study Co-ordinator was trained during the visit 28-29Feb and annotation made in the MV report for the visit </t>
  </si>
  <si>
    <t xml:space="preserve">1.         Clinical Research Associate (CRA) will discuss with Study Coordinator (SC) and Study Nurse (SN) the rationale of dose amendment, SN will retroactively review the amended doses and countersigned at the moment of review. 2a)-           Site personnel will retroactively review the time study intervention Pembrolizumab was taken out of the fridge and the preparation start time, document why late sign and sign in the source document at the moment of review. -           Clinical Research Associate (CRA) will conduct a thorough review of all Randomization Confirmation Sheets to identify any additional instances where similar omissions occurred, document in the respective monitoring report. 2b) Clinical Research Associate (CRA) will discuss with site personnel and confirm the correct IP preparation time, request site personnel to document the rationale of difference and make correction, initial and date for the correction accordingly. 1 and 2: CRA will perform SDV and SDR and document the review in the respective monitoring report.  </t>
  </si>
  <si>
    <t>CT13-GSOP - Investigational Product</t>
  </si>
  <si>
    <t>QE-095232</t>
  </si>
  <si>
    <t>Discrepancies were noted between the source data and the data reported in the corresponding electronic Case Report Forms (eCRF) for 3 out of 3 patients reviewed. [Pfizer Protocol C4221016 (Amendment 4: 14 Feb 2023)]. 1. For Patient 11351001: a) The initial staging was entered as Stage IA in the Primary Diagnosis eCRF but the source information dated 18 Feb 2022 recorded the staging as T1a/N1/Mx which was IIIA according to the American Joint Committee on Cancer staging system. b) During the first visit consultation on 30 Sep 2022 allergies with medication PrexumCo 10/12/5 mg was recorded in the case notes but allergies were not recorded as significant medical history in the Significant Medical History eCRF. c) The patient's weight measured on 21 Apr 2023 (Cycle 8 Day 1) was recorded as 140.2 kg in the site’s chemotherapy follow up worksheet but was entered as 140 kg in the Vitals eCRF. d) Concomitant medications of Ibugesic pen and Co-Amoxyclav were given from 13 Dec to 19 Dec 2023 as recorded in the site’s worksheet dated 29 Dec 2023 for the adverse event of right eye abscess. These concomitant medications were not reported in the Concomitant Medication Log eCRF.&amp;nbsp; 2. For Patient 11351005: &amp;nbsp; a) The concomitant medication Loperamide 2 mg PRN was taken from 2 Oct 2023 to 5 Oct 2023 as recorded in the site's chemotherapy follow up worksheet on 12 Oct 23 but in the Concomitant Medication Log&amp;nbsp; eCRF this medication was recorded as ongoing. b) The concomitant medication Augmentin was taken from 30 Oct 23 to 3 Nov 23 as recorded in the site's chemotherapy follow up worksheet but in the Concomitant Medication Log eCRF this medication was recorded as ongoing. 3. For Patient 11351007: a) The patient's weight measured on 11 Dec 2023 (Cycle 3 Day 1) was recorded as 131 kg In the site’s chemotherapy follow up worksheet but was entered as 130 kg in the Vitals eCRF.</t>
  </si>
  <si>
    <t>All actions were taken as per CAPA during the  MV of 28-29Feb24 and 04-05Apr24.</t>
  </si>
  <si>
    <t>1, 2 and 3. Clinical Research Associate (CRA) will request the Principal Investigator (PI) or Study Coordinator (SC) to review and ensure the consistent between the source document and electronic Case Report Forms (eCRF), update in the eCRF accordingly, the communication will be documented in contact report. 1, 2 and 3. CRA will perform Source Document Review and Source Document Verification and in the next monitoring visit and document the review in the respective monitoring visit report.</t>
  </si>
  <si>
    <t>DMB07 - CRF and Database Design</t>
  </si>
  <si>
    <t>QE-095644</t>
  </si>
  <si>
    <t>For 3 of 3 patient data reviewed, the central laboratory generated reports that were printed by the site did not display an accurate accession number [PPD Laboratory Manual (Version 2.0: 28 Apr 2022)]. Although this issue was prevalent, only one example was noted by the auditor during the audit for reference: For Patient 11351001 the PPD central laboratory report for the sample taken on 02 Jun 2023 (Cyle10 Day 1) had accession number 1JX09880107 as confirmed in the PPD Laboratory portal and the laboratory requisition form in the patient binder. &amp;nbsp;However the report generated on 05 Jun 2023 for both blood chemistry and hematology had a printed accession number of 1JX099 displayed and not the full accession number. Note the date, time and patient study identification number were accurate.</t>
  </si>
  <si>
    <t>Issue was investigated and found not applicable</t>
  </si>
  <si>
    <t xml:space="preserve">Study Manager (SM) to communicate with PPD Laboratory for the clarification between the requisition form ID and the patient accession number. 1JX09880107 is the requisition ID  that can be found on the requisition form and on the outside of the kit box. 1JX099 is the patient accession number that is randomly assigned by the system for each new patient entered into the system. On the report the patient accession number is always listed at the top in the subject information section, and not the requisition ID. For the report it is needed to have the patient number assigned. </t>
  </si>
  <si>
    <t>Quality Oversight/Documentation</t>
  </si>
  <si>
    <t>Inadequate quality documentation</t>
  </si>
  <si>
    <t>QMS05 - RA Submission Integrated Quality Control Plans</t>
  </si>
  <si>
    <t>QE-095230</t>
  </si>
  <si>
    <t>Adverse Event (AE) data entered in the electronic Case Report Form (eCRF) was either missing or did not match the source records for 2 of 3 patients reviewed [Pfizer Protocol C4221016 &amp;nbsp;(Amendment 4: 14 Feb 2023)]. 1. AEs not reported in the AE Log eCRF were noted: a) For Patient 11351001 the AE of diarrhoea was reported as occurring from 30 to 31 May 2023, with toxicity grade 1 and possibly related as recorded in the site's worksheet but was not entered into the eCRF. b) For Patient 11351001 the ongoing AE of neuropathy of the feet was reported as worsened on 23 Jun 2023, (i.e. toxicity grade change). On 14 Jul 2023 it was noted in the site's worksheet that peripheral neuropathy in the hand had improved but in the feet was ongoing. These AE changes were not reported in the eCRF. c) For Patient 11351001 the ongoing AE of hair changes had an additional comment in the site's worksheet on 23 Jun 2023 of alopecia of body hair loss, i.e., an increase in toxicity grade, but was not reported in the eCRF. 2. Data reported in the AE Log eCRF did not match the data captured in the source records: a) For Patient 11351107 the AE of headache grade 1 was recorded in the site’s worksheet on &amp;nbsp;06 Nov 2023 as starting on 31 Oct 2023 end ending on 02 Nov 2023 and the causality documented as unrelated/unknown but was entered as related to study intervention in the AE Log eCRF. b) For Patient 11351007 the AE of Myalgia grade 1 was reported in the site’s worksheet from 3 Nov 2023 and stopped on 8 Nov 2023 but was reported as ongoing in the AE Log eCRF.</t>
  </si>
  <si>
    <t>Updates were made during the visit conducted 28-29Feb24 and annotated in the MV report.</t>
  </si>
  <si>
    <t>1 and 2. Clinical Research Associate (CRA) will request the Principal Investigator (PI) or Study Coordinator (SC) to review and ensure the consistent between source document and AE log, update in the electronic Case Report Forms (eCRF) accordingly[.</t>
  </si>
  <si>
    <t>Incomplete AE reporting</t>
  </si>
  <si>
    <t>AEM01 - Adverse Event Monitoring</t>
  </si>
  <si>
    <t>QE-095651</t>
  </si>
  <si>
    <t>For 3 out of 4 patients reviewed, Informed Consent Documentation (ICD) was inaccurate [Pfizer Protocol C4221016 &amp;nbsp;Amendment 4: 14 Feb 2023 and ICH E6 (R2) 4.8.8]. 1. For Patient 11351002: The printed name of the patient appeared different on the main informed consent document (version 3.0: 09 Mar 2022) that was signed on 28 Nov 2022 compared to the other consent forms, i.e., the capital letter A was entered using distinctly different penmanships. 2. For Patient 11351005: The sites’ Informed consent checklist stated that the HIV consent form version 1.1 was signed and not version 1 (the correct date 05 Feb 2021 was referenced) on the list of Informed consent documents completed. Note version 1.1 did not exist for this form at the time of the audit. 3. For Patient 11351007: The sites’ Informed consent checklist stated that the HIV consent form version 1.1 was signed and not version 1 (the correct date 05 Feb 2021 was referenced) on the list of informed consent documents completed.</t>
  </si>
  <si>
    <t>PI and site staff was retrained on ALOCCEA principals during the visit of 28-29 Feb 2024.  The training was documented in the site training log.</t>
  </si>
  <si>
    <t>1.         -           Clinical Research Associate (CRA) will discuss with the Principal Investigator (PI) the noted issues regarding the printed same appeared different, request PI to further communicate with participant 11351002 to clarify any potential name variations and ensure accurate representation, record the communication in source document. -           Clinical Research Associate (CRA) will review all consent forms for participant 11351002 and documents related to the participant to identify any further inconsistencies or discrepancies in the patient's printed name.2 and 3-           Clinical Research Associate (CRA) will request site to update the Informed Consent Checklist to accurately reflect the correct version and date. -           Clinical Research Associate (CRA) will conduct a thorough review of all other consent documents and Informed Consent Checklists to identify any additional instances where incorrect versions or dates are referenced.1, 2 and 3.CRA will perform SDV and SDR and document the review in the respective monitoring report.</t>
  </si>
  <si>
    <t>Informed Consent</t>
  </si>
  <si>
    <t>Inadequate consent process at the investigator site</t>
  </si>
  <si>
    <t>CT05 - Informed Consent Documents</t>
  </si>
  <si>
    <t>QE-095234</t>
  </si>
  <si>
    <t>The study records did not consistently demonstrate ALCOAC (attributable, legible, contemporaneous, original accurate and complete) principles for 3 of 3 patients reviewed [Pfizer Protocol C4221016 (Amendment 4: 14 Feb 2023) and ICH E6 (R2) 4.9.0]. 1. Non-attributable source records were noted: a) The time the study intervention Pembrolizumab was taken out of the refrigerator and the preparation start time that was recorded on the Randomization Confirmation Sheets were not initialed or dated for 3 of 3 patient binders reviewed. b) For Patient 11351001 the prescription for the study intervention and the recorded doses on the dosing chart was amended by the Study Coordinator to correct the doses given but was not countersigned by the Study Nurse who performed the administration as documented in another finding in this report (QE 095636). 2. Incomplete source records: a) For Patient 11351005, the progress notes dated 17 Nov 2023 reported the following: "blurry vision in right eye" started about 2-3 weeks previously (Oct 2023)". On discussion it was determined, but not documented that the blurry vision was confirmed as a dry eye diagnosis from the Ophthalmologist who the patient had been referred to. It was not clear in the source information that this was one adverse event (AE) of dry eye that was reported in the electronic Case Report Form (eCRF) Adverse Event (AE) Log and not 2 separate AEs. b) For Patient 11351007, a 37-year-old male, the Screening Visit progress notes reported that he was not sexually active but in the subsequent visits notes there was no documentation present that would confirm sexual abstinences. The PI stated on discussion that the site's own Standard Operating Procedure (SOP-013/1 Fertility Management) addressed contraception requirements and this would have been discussed with the patient at every visit and should have been documented. 3.Undated signature: For Patient 11351001 the Ampath Laboratory Report for blood chemistry, including endocrinology, serology and HIV results for the sample taken at screening on 9 Nov 2022 was reported on10 Nov 2022 and was signed by the Principal Investigator but the signature was not dated.</t>
  </si>
  <si>
    <t>All appropriate actions was taken during the visit of 28-29 Feb 2024 and commented in the MV report.</t>
  </si>
  <si>
    <t xml:space="preserve">Clinical Research Associate (CRA) will discuss with site personnel to add the clarification to explain why there was no initial and date in the source document. CRA will perform Source Document Review (SDR) and document the review in the respective monitoring report. Clinical Research Associate (CRA) will discuss with investigator to add the clarification in the source document regarding the participant 11351007 has been reminded the contraception requirements and 1 Adverse Event (AE) for participant 11351007. CRA will perform Source Data Verification (SDV) and SDR, document the review in the respective monitoring report accordingly. Clinical Research Associate (CRA) will discuss with Principal Investigator (PI) to add the clarification to explain why there was no date in the Ampath Laboratory Report. CRA will perform SDR and document the review in the respective monitoring report. </t>
  </si>
  <si>
    <t xml:space="preserve">All appropriate actions taken during the MV of 28-29 Feb 2024.  2-day Monitoring visits was approved for the site by the PL on 20Feb2024 </t>
  </si>
  <si>
    <t>At the Monitor visit booked in April, the Clinical Research Associate (CRA) will retrain the site staff on ALCOCCEA (Accurate, Legible, Contemporaneous, Original, Attributable, Complete, Consistent, Enduring, &amp;amp; Available) criteria. The training will be documented in the Site Training Log and monitoring visit report (MVR).  Clinical Research Associate (CRA) to request increase in SDR, 2 days per visit, between Feb-Apr24, instead of 1 day visit that was performed until now. This will ensure proper ALCOACCEA (Accurate, Legible, Contemporaneous, Original, Attributable, Complete, Consistent, Enduring, &amp;amp; Available) review in all patient source.</t>
  </si>
  <si>
    <t>Meetings on Audit findings and CAPA's were held on:- 26Jan24- 05Mar24- 30Apr24- 16Jul24</t>
  </si>
  <si>
    <t xml:space="preserve">Clinical Operation Lead (COL) will remind the following topics to all CRAs during the CRA meeting that per ALCOACCEA principles.-           Records should be attributable identifying the site staff who have entered the information every time-           A rationale should be available for the source records updatesTraining will be documented in the meeting minutes. </t>
  </si>
  <si>
    <t>Remediation Closed - Not Verified</t>
  </si>
  <si>
    <t>Nemeth, Hajnalka</t>
  </si>
  <si>
    <t>HUNGARY</t>
  </si>
  <si>
    <t>C4221016_1050</t>
  </si>
  <si>
    <t>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 [Pfizer Protocol C4221016, Amendment 3, 08 Jun 2022, ICH E6 R2 4.9.0].
1. The following were noted to be not contemporaneous.
For 3 of 3 participants reviewed the PI and the Sub Investigator (SI) did not contemporaneously document the clinical review of the central laboratory results by signing and dating the laboratory reports at the time of the review. The PI stated during the audit that both he and the SI reviewed the reports immediately after receiving them and omitted signing them by mistake; however, it was impossible to identify the actual dates of the review. 
For example: 
• For Participant 10501002, the central laboratory safety reports for the following visits: Screening (04 Aug 2022), Cycle 1 Day 1 (C1D1) (30 Aug 2022), C2D1 (21 Sep 2022), C3D1 (12 Oct 2022), C4D1 (02 Nov 2022), C5D1 (14 Dec 2022) and C6D1 (14 Dec 2022) have not been signed and dated by the PI until 25 Jan 2023. 
• For Participant 10401002, the central laboratory safety reports for Visits C4D1 (06 Apr 2022) and C5D1 (27 Apr 2022) were generated on 03 May 2022; however, they have not been signed and dated by the SI until 28 Jun 2022. 
• For Participant 10501001, the central laboratory safety report for Visit C1D1 (27 Jun 2022) was generated on 06 Jul 2022; however, it has not been signed and dated by the PI until 22 Jul 2022. 
2. The following was noted to be not complete.
For Participant 10401002, Visit C4D1, the SI’s signature confirming the review of the local laboratory report was not dated. 
3. The following were noted to be not enduring. 
• The electrocardiogram (ECG) tracings for Participant 10501001 at the following visits: Screening, C1D1, C5D1, and for Participant 10501002 at the Visit C2D1, were printed on thermal paper and photocopies were not made to ensure the long-term integrity of the records. 
4. The following were noted to be not available.
• For Participant 10501001, at the Screening Visit, the central laboratory reports were not available within the participant’s binder; however according to the requisition form and the study nurse’s notes, central laboratory tests were done.</t>
  </si>
  <si>
    <t>Response/Remediation Plan:
Obvious Cause: Human Performance – Omission Error.
•	The Principal Investigator (PI) confirmed to auditor during the audit on 08Feb2023 that both himself and the Sub-Investigator (SI) reviewed the reports immediately after receiving them and omitted signing them by mistake. 
•	SI omitted to date the signature on local lab of Participant 10401002, Visit C4D1 by mistake.
•	Study Coordinator (SC) omitted to make photocopy of the following electrocardiogram (ECGs) by mistake: Participant 10501001 at the following visits: Screening, Cycle 1 Day1, Cycle5 Day1, and for Participant 10501002 at the Visit Cycle2 Day1.
•	For subject 10501001 Screening Central labs (except for BRAF ctDNA) were not done by site omission, Protocol Deviation (PD) #1-2X9I41O opened in Monitoring Visit Report (MVR) of MV of 24Aug2022 (PD description: Central lab assessment was not completed during Screening for Randomization except for BRAF due to site omission. Local lab results were used instead. Creatinine clearance was calculated locally, and local activated partial thromboplastin time (aPTT) was reviewed instead of prothrombin time (PT). Subject was enrolled.)
Correction:
1.
1.	Clinical Research Associate (CRA) contacted PI regarding this finding on 03Mar2023 via phone (Contact Report recorded in Siebel) and PI agreed that it will be added from now on to subject discharge summary and/or patient notes where applicable at each cycle, that Central Laboratory reports were checked/reviewed upon report availability by respective investigator. PI confirmed to CRA in e-mail on 09Mar2023 that PI agreed to create a File Note (FN) documenting the site process. FN will be filed in ISF. It will be documented in MVR by the CRA after the upcoming MV.
2.	CRA to re-train PI and SI during next Monitoring Visits (MVs) and document it on Monitoring Visit Reports (MVR) and on Training log. Training log and MVRs will be filed into PTMF.
2
1.	During the next MV CRA to request SI to add a comment to the local lab result confirming the lab results has been dated with delay, and SI to sign and date the comment with the current date.
2.	CRA to re-train SI on ALCOACCEA (Accurate, Legible, Contemporaneous, Original, Attributable, Complete, Consistent, Enduring, and Available) requirement and to update Training log during next MV and document it on MVR. Training log will be collected and filed into PTMF.
3
1.	CRA to re-train all SCs to have ECGs always photocopied in timely manner, CRA to update Training log during next MVs. Training log will be collected and filed into PTMF. Also, action will be documented in MVR and filed in PTMF.
2.	CRA to request SC to make photocopies of the above ECGs. CRA to check the completion of the above task during next 2 MVs in March and April 2023 and document it on MVR. 
4
1.	Site has been re-trained by CRA on 24Aug2022. Training log will be collected and filed into PTMF.
2.	CRA to double check during next MVs if for subject 10501001 Screening BRAF ctDNA PPD lab Specimen Received Statement of report date 27Sep2022 is filed in subject binder (where it is documented that only BRAF ctDNA samples were received by Central lab) and document it in MVR.</t>
  </si>
  <si>
    <t>Elena Kolesnik</t>
  </si>
  <si>
    <t>NOT APPLICABLE; NOT APPLICABLE; NOT APPLICABLE; NOT APPLICABLE</t>
  </si>
  <si>
    <t>Principal Investigator</t>
  </si>
  <si>
    <t>Szebenyi, Hajnalka</t>
  </si>
  <si>
    <t>Site Personnel</t>
  </si>
  <si>
    <t>Monitoring activities for the study were insufficient to identify and/or address the issues related to protocol adherence and source data described in the other sections of this report [Study Monitoring Plan C4221016 (Version 4, 24-Aug-2022)].
The following were noted: 
1. Six protocol deviations (PDs) for Participants 10501001 and 10501002 regarding the incorrect timing of the pharmacokinetics (PK) samples collection had not been identified and addressed by the monitor until 23 January 2023; however, the PDs occurred in the period from June to December 2022. 
2. 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t>
  </si>
  <si>
    <t>Response/Remediation Plan:
Obvious Cause: Personnel - Excessive Workload related to high volume of data to be reviewed and high number of issues at site.
1. CRA did not identify issues or was delayed in doing so due to: an increased workload due to 4 patient transfer from Ukraine to Hungary and from Hungary to Ukraine for Safety Lead In (SLI) in Apr2022 and there are enrolled 2 own subjects at phase III, having to prioritize monitoring for the SLI snapshot, SDV limitations, limitations on ability to have co-monitoring and on the site’s ability to accommodate additional monitoring.  Also, a SN who was key to informing on an issue was on sick leave, so there was a delay in obtaining information.
2.CRA did not identify all ALCOACCEA (Accurate, Legible, Contemporaneous, Original, Attributable, Complete, Consistent, Enduring, and Available) related issues at site by mistake and due to an increased workload due to 4 patient transfer from Ukraine to Hungary and from Hungary to Ukraine for Safety Lead In (SLI) in Apr2022 and there are enrolled 2 own subjects at phase III, which is related to high volume of data to be reviewed and high number of issues at site.
Please see additional details below:
There was an increased workload due to 4 patient transfer from Ukraine to Hungary and from Hungary to Ukraine for Safety Lead In (SLI) in Apr2022 and there are enrolled 2 own subjects at phase III. Clinical Research Associate (CRA) conducted monthly Monitoring Visits (MV) for 1 or 2 days till Oct 2022 and had 3 days MV in Nov 2022. In Oct-Nov-Dec CRA focused on SLI snapshot so SLI patients were reviewed, and for Phase III subjects Source Data Verification (SDV)/Source Data Review (SDR) was limited, and Pharmacokinetic (PK) sampling was not checked due to lack of time. Site has a limited time and space for monitoring activity, and it is not easy to set up additional monitoring days at the site, especially in case of late noticed from team. Co-monitoring visit is not contracted with Pfizer for this study.
During MV conducted on 06Dec2022 CRA noted that on Study Nurse (SN) Worksheet the handwritten statement for PK times were not added (compared with C1D1 PK where PK sample time was added by SN with handwriting). Therefore, CRA liaised with SN who confirmed that she will look into it for next MV in Jan2023. SN was on sick leave on the first MV on 09Jan2023, but on the 2nd MV in Jan2023 (24Jan2023) SN confirmed that the central lab timepoint was also the time of PK sample collecting. At this instance it became clear for CRA that site omitted to draw Cycle2-Cycle3-Cycle4 PK 0 hours samples as per protocol. 
Correction:
1.	CRA re-trained SN during MV, CRA reported Protocol Deviation (PD) in Monitoring Visit Report (MVR) of 18-24Jan2023. Training log will be collected and filed into PTMF during next MVs.
2.	Re-training for CRA about Monitoring plan requirements and Communication and Escalation Management Plan to be performed. It will be done by rCOL via e-mail. Email will be filed in PTMF. It will be highlighted that in case of required additional days at the site, CRA will inform rCOL about the requirement  and number of visits will be increased.
3.	Audit findings will be shared as lessons learned with other CRAs in the study. It will be done by GCOL via e-mail, which be filed in PTMF.
4. Number of additional monitoring visits will be estimated and increased as needed by rCOL and CRA after each Monitoring Visits till workload is eliminated. It will be documented at separate e-mails send by rCOL in the beginning of every month.</t>
  </si>
  <si>
    <t>INV04 - Investigational Site Management and Monitoring; INV04 - Investigational Site Management and Monitoring</t>
  </si>
  <si>
    <t>Vendor/Contractor</t>
  </si>
  <si>
    <t>Remediation Closed - Verified and EC Completed</t>
  </si>
  <si>
    <t>The protocol requirements with regards to pharmacokinetic (PK) sampling and electronic Patient Related Outcomes (ePROs) were not followed for 2 of 2 participants enrolled in the Phase 3 part of the study [Pfizer Protocol C4221016, Amendment 3, 08 Jun 2022].
The following were noted. 
1. The protocol requirement to collect the PK sample at 0h predose (within 30 minutes prior to encorafenib/placebo and binimetinib/placebo dosing) for the participants in the Phase 3 part of the study was not fulfilled. 
According to the nurses’ notes and the participants’ dosing diaries, on the days of the visits with PK sampling, the participants did not take their morning doses at home and took them onsite in the afternoon; however, the PK samples were drawn in the morning and not within the dedicated time points.
For example: 
• Participant 10501001, Visit Cycle 2 Day 1 (C2D1), visit date 18 Jul 2002: time of dose - 14:35; PK sample collection time - 08:19  
• Participant 10501001, Visit C3D1, visit date 08 Aug 2022: time of dose - 13:10; PK sample collection time - 08:17  
• Participant 10501001, Visit C4D1, visit date 30 Aug 2022: time of dose - 14:00; PK sample collection time - 08:30  
• Participant 10501002, Visit C2D1, visit date 21 Sep 2022: time of dose - 15:12; PK sample collection time – 07:25  
• Participant 10501002, Visit C3D1, visit date 12 Oct 2022: time of dose - 13:12; PK sample collection time - 12:10  
• Participant 10501002, Visit C4D1, visit date 02 Nov 2022: time of dose - 15:00; PK sample collection time – 09:10  
Note: the above instances had not been identified and reported by the monitor as Protocol Deviations (PD) until 23 Jan 2023.
2. The protocol requirement for the ePROs to be completed prior to any other clinical assessments and study procedures for participants in the Phase 3 part of the study was not fulfilled. 
According to the study visits progress notes and the records in the ePRO system yPrime, the questionnaires were consistently completed after laboratory samples draws and / or IV infusion study intervention. 
For example: 
Participant 10501001, Visit C1D1, visit date 27 Jun 2022: time of laboratory samples draws - 14:07; time of ePROs completion – 14:10 to 14:21 
Participant 10501002, Visit C1D1, visit date 30 Aug 2022: time of study intervention – 15:10 to 15:40; time of ePROs completion - 16:17 to 16:21 
Participant 10501002, Visit C4D1, visit date 02 Nov 2022: time of laboratory samples draws – 09:10, time of ePROs completion – 14:26 to 14:30
Participant 10501002, Visit C7D1, visit date 04 Jan 2023: time of laboratory samples draws – 08:27; time of ePROs completion – 10:32 to 10:39
Note: the above instances were not identified and reported by the monitor as PDs.</t>
  </si>
  <si>
    <t>Response/Remediation Plan:
1.	
Response/Remediation Plan:
Correction:
CRA re-trained Study Nurse (SN) during MV on 24th of Jan23, CRA reported Protocol Deviations (PDs): 10501001: 1-3ZH5WWR, 1-3ZH5WWV, 1-3ZH5WWY; 10501002: 1-3ZH5X85, 1-3ZH5X88, 1-3ZH5X8B) in Monitoring Visit Report (MVR) of 18-24Jan2023.
Root Cause: 
•	Principal Investigator (PI) confirmed to auditor during the audit (08Feb2023) that the incorrect timing of Pharmacokinetic (PK) sampling was due to site omission and due to site staff miscommunication between Study Nurse (SN) who draw the PK sample, and the following site staff who were in charge handling Impala and administrating Investigational Product (IP): Study Coordinator (SC) and SNs. 
•	No-one from site staff coordinated and re-checked if PK sample was taken within 0-30 min prior to IP intake.
Additionally, there is an increased workload due to 4 patient transfer from Ukraine to Hungary and from Hungary to Ukraine for Safety Lead In (SLI) in Apr2022 and there are enrolled 2 own subjects at phase III.  .Subject#10501001 is under SDV pool and there is no SDR/SDV required for subject #10501002. According to Monitoring plan version 4 dated 24Aug2022 CRA is to perform SDV for PK sampling time. Clinical Research Associate (CRA) conducted monthly Monitoring Visits (MVs) for 1 or 2 days till Oct 2022 and had 3 days MV in Nov 2022. In Oct-Nov-Dec 2022 CRA focused on SLI snapshot so SLI patients were reviewed, and for Phase III subjects Source Data Verification (SDV)/Source Data Review (SDR) was limited, and pharmacokinetic(s) (PK) sampling was not checked due to lack of time. Co-monitoring visit is not contracted with Pfizer for this study. Site has a limited time and space for monitoring activity, and it is not easy to set up additional monitoring days at the site, especially in case of late notice from team.
During MV conducted on 06Dec2022, CRA noted that on SN Worksheet, the handwritten statement for PK times were not added (compared with Cycle 1 Day1 where PK sample time was added by SN with handwriting). Therefore, (CRA) liaised with SN who confirmed that she will look into it for next MV in Jan2023. SN was on sick leave on the MV on 09Jan2023, but on the 2nd MV on 24Jan2023 SN confirmed that the central lab timepoint was also the time of PK sample collecting. At this moment, it became clear for CRA that site omitted to draw Cycle2-Cycle3-Cycle4 PK 0 hours samples as per protocol.
Due to Pfizer study management resource changes, the programmable PD report was not provided to Parexel in a timely manner after SLI phase and consequently, PD reporting was delayed.
Corrective Action:
1.	PI re-trained SCs and SNs during audit on 08Feb2023 on Protocol Amendment 3 and coordination of Phase III PK sample timelines. CRA to check the documentation of PI training on Training logs during next Monitoring Visits (MV) and document this check in (MVR). Copies of updated training logs will be collected by CRA and filed in Pfizer Trial Master file (PTMF).
2.	CRA to re-confirm with the SCs and SNs if they understand protocol requirements about PK samples collection and follow up them after re-training performed by PI. It will be documented in MVR and filed in PTMF
3.	Finding was escalated to Sponsor by GCOL and PL on 6Mar23 during special phone call and via e-mail on 07Mar2023. Sponsor asked DM to follow up with programming unit to address why these PDs were not identified into Inform (eCRF). These were also done manually previously to review and check. As of now, this is currently being programmed as system edit checks with a targeted completion date of the April 10th, 2023 week. This will correct the missed queries. PD reports will be provided by the study management team on a monthly basis and when the PD review is due. These trackers will be provided by email to study team and posted on Pfizer SharePoint (SP).   
Preventive Action:
1.	Study Nurse (SN) confirmed on 08Mar2023 to CRA that she will update SN Worksheet with Cycle2-Cycle3-Cycle4 Pre-dose (0-30 min) PK sample timepoints so that all site staff will be aware of the PK timing requirement. CRA will verify the update during upcoming MV and document the action in the MVR which will be filed in PTMF.
2.	CRA to review PK sample time for other subjects at the site. In case the time of PK sampling won’t be within 30 minutes prior to encorafenib/placebo and binimetinib/placebo dosing then a PD will be raised in Siebel. It will be also captured in MVR and filed in PTMF.
2.
Correction:
1.	CRA to report all related PDs in Siebel for subjects 10501001 and 10501002 (Cycle1Day1, Cycle 4Day1, Cycle7 Day1) during next MV. It will be documented into MVR. MVR will be filed in PTMF. 
2.	Finding was escalated to Sponsor by Global Clinical Operations Leader (GCOL) and Project Leader (PL) on 06Mar2023 during special phone call and on 07 Ma2023 via e-mail.
Root Cause:
SC who is responsible for ePRO management confirmed verbally to CRA on first MV on 11Jul2023 of Phase III trial that the questionnaires on the ePRO were completed by subjects for Phase III always at the beginning of the visits. This discussion was not documented in MVR. Time of ePRO completion is not recorded in source documents (SD). For the site, the Yprime portal is a source data for ePRO completion. 
Subject#10501001 is under SDV pool and there is not required SDV or SVR for subject #10501002.
According to Monitoring plan version 4 dated 24Aug2022 CRA is to review ePRO data on the YPrime portal to ensure sites are completing ePROs required at each study visit per protocol, and that the ePROs are being completed prior to any other study procedures. However, CRA did not cross-check the ePRO completion time against other visit source documents due to increased workload (there is an increased workload 4 patient transfer from Ukraine to Hungary and from Hungary to Ukraine for Safety Lead In (SLI) in Apr2022 and there are enrolled 2 own subjects at phase III) and time-consuming usage of YPrime portal.  Also, there is no vendor data reconciliation here between YPrime and eCRF. Parexel was not provided with reports from YPrime portal and CRAs are spending a lot of time to review ePRO completion for every single patient directly in YPrime portal.
Corrective Action:
1.	SC checked and confirmed that the time zone and time setting on Samsung ePRO is current and accurate on 8Mar2023 (it was based on SC mail dated 8Mar23). CRA to confirm that time setting is automatically synching with Central European Time (CET) summer/wintertime changes, time setting is correct or any synchronization delay happened at site during time changes. It will be done during MV in Apr/May2023 and it will be documented into MVR. MVR will be filed in PTMF. 
2.	Pfizer has opened a vendor audit to work directly with YPrime on a resolution/CAPA as data transfers should occur every quarter. This audit has been scheduled for 04-06 April 2023 in which C4221016 was included in the audit scope. 
3.	CRA to re-train SC to check before each ePRO questionnaire completion the time setting and if any issues, immediately contact CRA/Helpdesk. It will be documented into training log and into Siebel (MVR/site contact report). A copy of training log will be sent to PTMF.
4.	Re- training for CRA about Monitoring plan and Communication and Escalation Management Plan are required. It will be done by rCOL and documented in e-mail by 30Apr2023.
5.	CRA to review ePRO data confirm if all cases of potential ePRO late completion were identified and report them as PDs if needed in Siebel (Clinical Trial Management System) during next MV.
Preventive Action:
1.	Lessons learned will be shared with CRAs in the study by gCOL by 30Apr2023 via e-mail.
2.	Yprime will provide a monthly report that includes ePRO completion time which Study Management will post on Pfizer Sharepoint for CRAs to review at the beginning of each month.</t>
  </si>
  <si>
    <t>PROTOCOL DEVIATIONS; PROTOCOL DEVIATIONS</t>
  </si>
  <si>
    <t>AIA-000334</t>
  </si>
  <si>
    <t>QE-077333</t>
  </si>
  <si>
    <t>Gogas, Helen</t>
  </si>
  <si>
    <t>GREECE</t>
  </si>
  <si>
    <t>C4221016_1209</t>
  </si>
  <si>
    <t>One Serious Adverse Event (SAE) follow up was reported out of the required timeline, following other SAEs reported late and site staff retraining on SAE reporting requirements (Pfizer Protocol C4221016 (Amendment 4, 14 Feb 2023; Amendment 3, 8 Jun 2022). For patient 12091015, the site received the report of the SAE-left hemiparesis on 12 Sep 2023 and the SAE follow up form was notified on 27 Sep 2023. However, according to the study protocol required submission of any updated SAE data to the sponsor within 24 hours of it being available. &amp;nbsp; Note: the site had 2 Quality Events linked to late initial SAE reporting. The site had been retrained several times on SAE reporting requirements, latest ones, in May 2023 and October 2023, after the late reporting of SAEs re-occurred. According to Pfizer SOP INV04-GSOP-SD-GL04- Late Serious Adverse Event escalation, version 6.0 dated 16 Sep 2022, only late reporting of Initial SAEs should be escalated. Thereby, following this procedure, the late reporting of this follow up was not reported as a protocol deviation.</t>
  </si>
  <si>
    <t>Quality event (QE 077333) was submitted per process, and this was discussed during the meeting with the Study Manager on 03Nov23.</t>
  </si>
  <si>
    <t>No additional action specific to the cited event as for events that were reported late, the reporting date cannot be changed as it has already occurred. Additionally, the non-conformance has been submitted as a quality event per process.</t>
  </si>
  <si>
    <t>Delayed SAE reporting</t>
  </si>
  <si>
    <t>CT08-GSOP - Clinical Site Management and Monitoring</t>
  </si>
  <si>
    <t>Vasileiou, Christina</t>
  </si>
  <si>
    <t>The following was added to the Study Decision log:Decision date: 07Nov 2023Decision:  Late SAE reporting should be considered for the initial SAE report only. Rationale: There is a discrepancy between what is reported in the INV04-GSOP-SD-GL04 6.0 (Late reporting only for initial SAE report) and the mandatory text of the protocol language (all SAEs will be reported within 24 h) and the instructions in the SOP will be followed. Decision Maker(s):  Clinician Paola GerlettiTeam Members Notified Date / via Channel: 07Nov23 e-mail to study team and to CRO via Ops call meeting 15Nov23 Supporting Documentation: None</t>
  </si>
  <si>
    <t xml:space="preserve">Study Manager (SM) scheduled meeting on 03Nov2023 for discussing the discrepancy in INV04-GSOP-SD-GL04 6.0 (Late reporting only for initial SAE report). On 07Nov23 SM documented in the study decision log that there is a discrepancy between what is reported in the INV04-GSOP-SD-GL04 6.0 (Late reporting only for initial SAE report) and the mandatory text of the protocol language (all SAEs will be reported within 24 h) and the instructions in the SOP will be followed. </t>
  </si>
  <si>
    <t xml:space="preserve">COL sent an e-mail (attached) to the COL team and this was also discussed during the COL meeting held on 08Feb24.  Both the e-mail and the meeting minutes are attached </t>
  </si>
  <si>
    <t xml:space="preserve">On 07 November 23 Study Manager (SM) sent an e-mail to study team; Clinical research Operation (CRO) was informed by the SM of this via Ops call meeting on 15Nov23.Clinical Operations Lead (COL) to send lessons learned e-mail with the remediation to the rCOL’s for distribution to Clinical Research Associates (CRA’s) </t>
  </si>
  <si>
    <t>QE-077322</t>
  </si>
  <si>
    <t>Source documents did not respect  ALCOACCEA criteria (Accurate, Legible, Contemporaneous, Original, Attributable, Complete, Consistent, Enduring, &amp;amp; Available) for 4 of 4 participants reviewed [(ICH E6 (R2); 2.10, 4.9.0)] .&amp;nbsp; &amp;nbsp; The following examples were noted: 1.For the 4 participants reviewed, additional handwritten notes added in the medical records at screening or first cycles visits, without dating&amp;nbsp; 2. For participants 12091015 and 12091019, notes handwritten by 2 different sub investigators (Sub-Is) (one of them the main Sub-I) at the same visit and one of them did not sign to ensure attributability 3. Participant 12091001: a)Creatinine clearance value confirming one of the inclusion criteria was added in the medical notes on 15 May 2023 when the randomization visit was dated 27 Sep 2022. Note: The Sub-I confirmed that he assessed the inclusion criteria value based on local laboratory results available at the randomization visit on 27 Sep 2022 b)Clarification note dated 7 Sep 2022 was signed on 15 May 2023 4.Participant 12091009: a) Weight at screening was changed from 50 Kg to 57 Kg, one day after screening, without an explanation about this change. This change resulted in a revised central laboratory result of creatinine clearance from 46 ml/min (exclusion criteria) to 52 ml/min (inclusion criteria). The revised report with the value within inclusion criteria range was dated 7 Feb 2023, after the participant was randomized. &amp;nbsp;The Sub-I confirmed that he evaluated the value considering the weight of 57 Kg but the value considered for the inclusion was not clearly documented in the medical notes&amp;nbsp; b) Creatinine value increased form 88 mcmol/L at screening to 124 mcmol/L on 22 May 2023 (highlighted by central laboratory as grade 2 toxicity) and up to 159 mcmol/L on 12 Jun 2023 (highlighted by central laboratory as grade 3 toxicity). The main Sub-I evaluated them as not clinically significant (NCS). He explained during the audit that he considered NCS because the participant did not take enough drink. However, there was no explanation recorded in the medical notes about this assessment and why this was not considered any toxicity which could lead to study drug discontinuation. 5.Participant 12091010: The site informed the CRA on 27 Jun 2023 that the blind was broken on 13 Jun 2023 as the PI wanted to know the study medication as the participant had hepatotoxicity. However, there was no documentation in the medical notes about the reason for unblinding and the process followed. 6.Participant 12091015: On 4 Aug 2023, Week 9, Response Evaluation Criteria in Solid Tumor (RECIST) was evaluated as Progressive Disease (PD). The medication was not interrupted and the results of the subsequent central reader showed “no PD”. However, the rationale for the decision taken by the main Sub-I to keep the participant in the study until the confirmation of the central reader was received, was not documented in the medical notes 7. Participant 12091019: On Cycle 3 Day 1, there was an inconsistency on the date when the participant collected the investigational product. It was reported in the medical notes by the main Sub-I that the participant received the study medication. However, there was an additional note written by another Sub-I on the same sheet dated, indicating that the participant tested negative on Covid-19 and that he came back to the site to collect the study medication. 8. The General Practitioner letter informing about the participant’s involvement in the study had been approved as part of the country initial submission package. However, it was not documented whether the site used this letter to inform other participant’s treating physicians accordingly. &amp;nbsp;</t>
  </si>
  <si>
    <t>Source document review was completed during the visit of 14 and 18 Dec 2023 and documented in the Monitoring Visit Report (MVR)that was finalized on 22Dec23. MVR is uploaded in attachments.</t>
  </si>
  <si>
    <t xml:space="preserve">1, 2 and 3: Sub-Investigator (SI) will add the clarification to explain why there was no date in the source document initially, sign and date for the clarification to confirm the update in the source document. At the next on site visit, Clinical Research Associate (CRA) will verify the action was completed and document this in the monitoring visit report.4a. During this visit on 16-17Nov2023, the SI PK added a comment as per GCP in the source documents clarifying the clear rationale that the creatinine clearance value of 50 ml/min was calculated based on weight 57 kg &amp;amp; the creatinine value: 1.06 mg/dl.4b. During this visit, SI PK added a comment as per GCP in the source documents at 22May23&amp;amp;12Jun23, clear clarification was added that the increase in the creatinine is because the participant did not take enough hydration(drink) combined with increased temperature due to summer.5.During this visit on 16-17Nov2023, SI PK provided clear rationale as per GCP in the medical note about the reason for unblinding and the process followed. Both Principal Investigator and SI PK cosigned the relevant statement in medical notes.6. During this visit on 16-17Nov2023, SI PK added a comment as per GCP in the medical file clarifying that based on protocol (table 1, page 116) the participant continued treatment since the participant (Pt) is in very good clinical condition, and SI PK assessed that the participant would benefit from the continuation of study treatment. 7. Clarification: There is no discrepancy on the date when then Pt collected the Investigational Product (IP) since both SIs have written the exact date that IP was administered to the Pt more specifically the 2nd SI confirms as well, and the exact date is written in source document 09 Oct 2023 by both SIs. For 1, 2, 3, 4, 5, 6: CRA will perform Source Document Review in the next monitoring visit planned on 14 &amp;amp; 18 Dec 2023 and document the review in the respective monitoring visit report. </t>
  </si>
  <si>
    <t>All trainings were completed (PI training on 18Jan24).  Note to File was created, please see attached.</t>
  </si>
  <si>
    <t xml:space="preserve">For 1, 2, 3, 4, 5, 6 and 8: During the monitoring visit (MV) of 16-17Nov23, Clinical Research Associate (CRA) retrained Sub-Investigators PK and SB on ALCOACCEA criteria (Accurate, Legible, Contemporaneous, Original, Attributable, Complete, Consistent, Enduring, &amp;amp; Available) [(ICH E6 (R2); 2.10, 4.9.0)]. Training was recorded on the site training log and comment made in the MV Report for this visit.For 5: CRA will check with site staff to confirm that the site staff fully understands the unblinded process based on the currently effective and approved Protocol, the communication will be documented in the respective monitoring visit report.For 8: Principal Investigator (PI) to create a Note to File (NTF) stating the Dear Dr letter (GP letter version 2.0,05 Jul2021) was not provided to participant 1-21 since they did not have one specific treating Physician.CRA will upload the signed NtF in PTMF by 05Jan2024 </t>
  </si>
  <si>
    <t xml:space="preserve">COL sent an e-mail (attached) to the COL team and this was also discussed during the COL meeting held on 08Feb24.  Both the e-mail and the meeting minutes are attached. </t>
  </si>
  <si>
    <t xml:space="preserve">For 5 and 8: Clinical Operations Lead (COL) will share this significant finding to all CRA as lesson learned, COL will document in meeting minutes or meeting slide. </t>
  </si>
  <si>
    <t>QE-077734</t>
  </si>
  <si>
    <t>The monitoring activities did not ensure the detection and resolution of potential issues [ICH E6 (R2) 5.18.4]. 1.The following examples were noted at site level and not resolved: -The delegation of study activities including&amp;nbsp;the external vendor staff were not accurately documented -The Principal Investigator's oversight was not documented -The source documents lack completeness, attributability and consistency to document some medical decisions and inclusion criteria -Protocol requirements related to ophthalmological&amp;nbsp;evaluations were not confirmed 2.Moreover,&amp;nbsp; the STARBOARD Study (C4221016) Ophthalmic Exam Worksheet V1.0 06-Jan-2021 available in the Trial Master File at study level, to guide the examiner, had not been provided by the CRO to the site and/or external vendor responsible for ophthalmic examinations</t>
  </si>
  <si>
    <t>Clinical research Associate completed review during the Monitoring visit on 20-21Feb24.</t>
  </si>
  <si>
    <t xml:space="preserve">The Clinical Research Associate (CRA) will make sure the site level examples cited in this finding, and which are captured in other findings in this audit, are followed to completion and documented </t>
  </si>
  <si>
    <t>During a call on 26Jan24 the COL, CRA and CRA LM reviewed all trainings and discussed any additional actions still pending.  This was annotated in the attached e-mail sent on 29Jan24.</t>
  </si>
  <si>
    <t>Clinical Operations Lead (COL) or Clinical Research Associate’s (CRA’s) Line Manager (LM) to retrain the CRA on ICH E6 (R2) 5.18.4 and overall monitoring activities and follow up as well as to reiterate that CRA should escalate immediately should additional assistance be required, record in meeting minutes and meeting slide. Clinical Operations Lead (COL) to follow up with the Sponsor on previous communication (14Jun23) in this regard. COL to discuss Protocol requirements related to ophthalmological evaluations with the Sponsor to confirm if the process at site is acceptable. Re-training will be documented in meeting minutes. COL to discuss Protocol requirements related to ophthalmological evaluations with the Sponsor to confirm if the process at site is acceptable.</t>
  </si>
  <si>
    <t>On 26Jan24 the COL had a call with the CR and the CRA LM to discuss all actions as per audit report and CAPA's.  Last training and review was documented as per attached e-mail to CRA and CRA LM on 29Jan24.</t>
  </si>
  <si>
    <t>Clinical Operations Lead (COL) will remind the project CRA for the following topics during the next weekly call scheduled for 19Dec23:                           - Protocol requirements related to ophthalmological evaluations- The delegation of study activities including the external vendor staff were not accurately documented. -The Principal Investigator's oversight was not documented</t>
  </si>
  <si>
    <t xml:space="preserve">CRA took all appropriate actions in this regard during the Monitoring Visit of 14 and 18 Dec23 and this was documented in the Monitoring Visit Report (finalized on 22Dec23), here in attachment. </t>
  </si>
  <si>
    <t>Clinical Research Associate (CRA) to provide a copy of the worksheets to the site and the vendor during the monitoring visit (MV) scheduled for 14&amp;amp;18 Dec23. This should be commented in the Monitoring Visit Report (MVR) for this visit</t>
  </si>
  <si>
    <t>Study Manager confirmed that the worksheets are filed to PTMF on 21Nov23.</t>
  </si>
  <si>
    <t>Study Manager to file all versions of the worksheet to PTMF no later than 30Nov23.</t>
  </si>
  <si>
    <t xml:space="preserve">Global Clinical Operations Lead  to send an e-mail to all reginal Clinical Operations Lead’s to confirm with the teams if the Ophthalmology worksheets was distributed and are available at all sites.  Ophthalmology examination requirements and the use of the worksheet should be distributed to all CRA’s for follow up with their sites. </t>
  </si>
  <si>
    <t>QE-079534</t>
  </si>
  <si>
    <t>Reporting of adverse events (AEs) was incomplete for 1 of 4 participants reviewed (ICH E6 (R2) 4.11.2). Participant 12091015: According to the medical records, the participant had an adverse event of mild diarrhea from 6 to 15 Jun 2023. However, this AE was not reported in the electronic case report form (eCRF). Note: The grade and relation of the AE were not detailed in the source docuemnts.</t>
  </si>
  <si>
    <t>All actions completed during the Monitoring visits performed on 14 and 18 Dec2023 and 17-18 Jan2024. This was commented in the attached Monitoring Visit reports and training logs.</t>
  </si>
  <si>
    <t>AE needs to be entered in the eCRF during the visit and AE grade and relation to be entered in the source documents. CRA will perform SDR and SDV and in the next monitoring visit planned for 14 &amp;amp; 18 Dec 2023, and document the review in the respective monitoring visit report. During the MV of 16-17Nov23, CRA retrained sub-investigator (SI)  PK and SB on ALCOACCEA criteria (Accurate, Legible, Contemporaneous, Original, Attributable, Complete, Consistent, Enduring, &amp;amp; Available) [(ICH E6 (R2); 2.10, 4.9.0)]. Training was recorded on the site training log and comment made in the MVR for this visit.</t>
  </si>
  <si>
    <t>QE-077331</t>
  </si>
  <si>
    <t>One discrepancy was noted between source documents (SD) and electronic case report form (eCRF) for 1 of 4 participants reviewed (ICH E6 (R2) 4.9.2). &amp;nbsp; Participant 12091009: The treatment Levothyroxine sodium changed to 112 mg as of June 2022. In the eCRF it was reported a dose of 88 mg as of 2013 which was still on going</t>
  </si>
  <si>
    <t>Actions was taken during the Monitoring Visit on 17Novemver2023.  This was recorded in the Monitoring Visit Report for this visit.  The report was finalized on 30November2023.</t>
  </si>
  <si>
    <t>Clinical Research Associate (CRA) retrained SI PK during the MV on 17NOV2023, on CRF completion guidelines and training was entered on the training log. SI corrected the dose for the treatment Levothyroxine sodium for subject 12091009. CRA performed SDR and document in monitoring visit on 16-17 Nov 2023, and documented the review in the respective monitoring visit report.</t>
  </si>
  <si>
    <t>CT03-GSOP - Case Report Forms</t>
  </si>
  <si>
    <t>QE-077327</t>
  </si>
  <si>
    <t>The protocol requirements related to ophthalmological&amp;nbsp;evaluations were not followed for 4 of 4 participants reviewed (Pfizer Protocol C4221016 Amendment 4, 14 Feb 2023; Pfizer Protocol Amendment 3, 8 Jun 2022). &amp;nbsp; According to the protocol, a  full ophthalmic examination will be performed by a qualified ophthalmologist or optometrist as identified by the investigator at screening. The examination will include an overall assessment of best corrected visual acuity, slit lamp examination, intraocular pressure, dilated fundoscopy, and optical coherence tomography. Examination of the retina is required to identify findings associated with retinal pigment epithelial detachment (RPED), serous detachment of the retina and retinal vein occlusion (RVO). For all participants, o ptical coherence tomography (OCT) was only completed for retina macular assessments. The main Sub-Investigator explained during the audit that it was the site standard practice and they agreed with the external vendor to only conduct the OCT of the retina macular. There was no documented evidence of any discussion held with the site to confirm whether the lack of examinations was considered a protocol deviation or if this approach was allowed per protocol. &amp;nbsp;</t>
  </si>
  <si>
    <t>Please refer to attached e-mail and monitoring visit report.</t>
  </si>
  <si>
    <t>Clinical Operations Leader (COL) to send the process as clarified with the SI during this audit to the Sponsor for review and approval prior the next MV scheduled for 14 &amp;amp; 18Dec23. On response and/or approval form the Sponsor, the CRA is to discuss the appropriate procedures with the site and the Vendor, this should be commented on the MVR for the MV scheduled 14/18Dec23. The PI needs to document the arrangement with the Vendor and file in the ISF with the CTA for the Vendor, if needed the Vendor CTA is to be amended</t>
  </si>
  <si>
    <t>QE-077329</t>
  </si>
  <si>
    <t>The Principal Investigator (PI) involvement in the study was not accurately documented to confirm her involvement in the recruitment of participants and her oversight of the study [(ICH E6 (R2) 4.2.1, 4.2.2)]. According to the PI’s feedback, she was responsible for recruiting participants as she reviewed most of melanoma patients at the hospital. She knew the participants from previous therapies, and she was mainly responsible for holding the informed consent discussion and offering them the participation in the study. However, according to the source documents: -The Informed Consent Documents (ICDs) were all signed by one Sub-Investigator (main Sub-I). The ICD signature was documented in the medical notes collected by this main Sub-I and the involvement of the PI was not documented -The medical notes started at the screening visit; there were no pre-screening records documenting any pre-identification of participants by the PI or any pre-screening assessment -The site prepared an inclusion/exclusion criteria checklist which was completed by the main Sub-I; there was no evidence of the PI review -There was no documented evidence of the discussions held between PI and Sub-Is about the study progress or any issue with each participant (e.g. unblinding of participant 12091010 or discontinuation of some participants after progressive disease) &amp;nbsp; Moreover, according to the site monitoring visit log, the person attending the monitoring visits was always the main Sub-I and not the PI, except for the monitoring visit which occurred right before the audit, on 23 and 24 Oct 2023.</t>
  </si>
  <si>
    <t>Please refer to attached Note to File</t>
  </si>
  <si>
    <t>Correction: Note to file (NTF) available stating that: This note to file is to confirm that daily internal meetings are conducted where all site staff and Principal Investigator (PI) discuss the recruitment status and the status of screened/enrolled patients and next treatment steps are decided. Study's status and processes are also discussed. (Signed on 04 Jul 2022 by the PI)On 17Nov23 the sub-investigator (SI) commented on the source documents of participant 12091010 that the unblinding was done on 13 Jun 2023 urgently after discussion with the Principal Investigator (PI). At the end of this statement both SI and PI signed.</t>
  </si>
  <si>
    <t>CRA discussed audit findings and corrections with the PI on 18Jan23, please refer to attached Monitoring Visit report and training log.</t>
  </si>
  <si>
    <t>Clinical Research Associate (CRA) will retrain the Principal Investigator (PI) on ICH E6 (R2) 4.2.1, 4.2.2, during the next MV scheduled for 14 &amp;amp; 18Dec23, training to be recorded in the site training log and corresponding monitoring visit report. CRA will also discuss the possibility of implementing additional worksheets and/or templates to make PI oversight in documents more visible.</t>
  </si>
  <si>
    <t>Clinical Operations Lead (COL) will share this significant finding to all CRA as lesson learned, COL will document in meeting minutes or meeting slide.</t>
  </si>
  <si>
    <t>QE-077336</t>
  </si>
  <si>
    <t>The delegation of study tasks was not accurately documented [ICH E6 (R2) 4.2.4, 4.2.5]. &amp;nbsp; The external vendor  Bioiatriki  Laboratories Greece had been subcontracted by the CRO PAREXEL to support the site to perform the following study examinations: 12-lead Electrocardiogram (ECG), Echocardiography (ECHO), tumor scans, ophthalmological evaluations and laboratory samples collection. According to a Note to File available at the site, as of 1 May 2023, the lab samples were collected at the site and sent to this vendor for processing. &amp;nbsp; 1.The delegation of these study required procedures was not documented in any form (e.g. external form maintained by the vendor) indicating&amp;nbsp;who was assigned at the vendor level to conduct or manage the examinations and ensure that all personnel assisting on these study tasks were qualified and had been trained according to study requirements. For example, the protocol required that: -all&amp;nbsp; scheduled ECGs (standard and triplicate) should be performed after the participant had rested quietly (ideally for at least 10 minutes in a supine position). When an ECG was to be performed at the same time point as a blood collection (e.g., safety laboratory assessments, PK samples, etc.), the ECG was to be performed first or at least 30 minutes after blood collection. -Some safety tests, as detailed in Appendix 2 of Pfizer Protocol C4221016, should be conducted as part of local laboratory tests &amp;nbsp; However, there was no evidence that the vendor staff had been trained on these study specific requirements or instructed on how to exchange results or ensure the retention of all study examinations/results. &amp;nbsp; 2.&amp;nbsp;In the Site Signature Sheet and delegation of Duties Log (SSDDL), the Study Coordinator was delegated to complete electronic case report forms with a start date on 4 Jul 2022. However, the certificate of Inform training was dated later, on 23 Jun 2023.</t>
  </si>
  <si>
    <t xml:space="preserve">SSDL and actions was discussed with the PI and the Vendor during the visits 14 and 18 Dec2023 and 17-18 Jan2024. Actions was taken accordingly, please refer to Monitoring Visit report attached. </t>
  </si>
  <si>
    <t>Clinical Research Associate (CRA) will discuss with PI to update Site Staff Delegation of Duties Log (SSDDL) to indicate who to be assigned on the study specific tasks at the vendor level. PI will update SSDDL and accurately assign the study tasks to vendor, CRA will document in corresponding monitoring visit report. Documentation, with instructions on how procedures should be performed, between site and external vendor, to be put in place. Clinical Operations Leader (COL) escalated the issue to the Sponsor on 20Nov23 and Study Manager to confirm how we can proceed with this process.  Once confirmation is obtained the CRA needs to discuss the process with the site and the vendor and if needed the Vendor CTA needs to be amended.</t>
  </si>
  <si>
    <t>AIA-002084</t>
  </si>
  <si>
    <t>QE-081886</t>
  </si>
  <si>
    <t>de la Cruz Merino, Luis</t>
  </si>
  <si>
    <t>SPAIN</t>
  </si>
  <si>
    <t>C4221016_1155</t>
  </si>
  <si>
    <t>The documentation of training and qualification of site personnel delegated for the study was incomplete [ICH E6 (R2) 4.2.4, 4.2.5]. The following documents confirming qualification of site staff were missing in the Investigator Site File: 1. Curriculum Vitae (CV)s and Good Clinical&amp;nbsp;Practice (GCP) trainings for 4 Study Nurses (SNs), 2 Study Coordinators (SCs) and 1 Data Manager. Note: all these documents were filed during the audit 2. One Sub-Investigator was assigned with the task of signing electronic Case Report Form (e-CRF) but his training on the e-CRF was not available 3. There was no evidence of training on the study protocol for one SC who started in the study in July 2023</t>
  </si>
  <si>
    <t xml:space="preserve">Action 1. The CRA had re-trained PI and SC about ICH-GCP and the responsibility of a proper ISF maintenance during the MV on 21-Feb-2024. The training was documented in the Site Training Log and Monitoring Visit Report (MVR). The CRA had reviewed the ISF as part of the regular monitoring activities during all respective MVs and ensured, that all essential documents are present. The review was documented in the MVR for each visit.The CRA team was reminded by the Parexel Project Leader (PL) via e-mail on 27-Feb-2024 about filing requirements as indicated in the monitoring plan. The CRA team was also reminded that during each MV, the CRA should review and ensure that ISF is complete, adequately, and accurately maintained. The correspondence was uploaded to Pfizer Trial Master File (PTMF). Action 2.Via email on 20-Feb-2024, CRA had requested the Sub-I to complete the missing trainings in Firecrest. During the regular contacts the CRA had checked, that SI training is completed. The training completion was documented in the MVRs for each visit as a part of regular site monitoring activity. Action 3.On 16-Nov-2023 CRA had requested the SN to document the missing trainings in the study Training Log. During the MV on 21-Feb-2024 the CRA had checked that SN training log is updated, a copy was collected to be filed in the electronic Trial Master File and this was documented in the MVR.The CRA team was reminded by the Parexel Project Leader (PL) via e-mail on 27-Feb-2024 about training requirements and gCOL is distributing monthly Firecrest reports with all pending trainings for team follow up. The CRA team was reminded that during each MV, the CRA should review and ensure that trainings are complete on time. The correspondence was uploaded to PTMF.        </t>
  </si>
  <si>
    <t xml:space="preserve">Observation 1. The CRA to re-train PI and SC about ICH-GCP and the responsibility of a proper ISF maintenance during the next two MVs to be completed before 29 Feb 2024. The training will be documented in the Site Training Log and Monitoring Visit Report (MVR). The CRA to review the ISF as part of the regular monitoring activities during upcoming MVs to ensure all essential documents are present. If documents are not present, the CRA will work with the site and Parexel team to collect and file them accordingly. The review will be documented in the MVR.The CRA team will be reminded by the Parexel Global Clinical Operations Leader (gCOL) via e-mail by 29 Feb 2024 about filing requirements as indicated in the monitoring plan. The CRA team will be reminded that during each MV, the CRA should review and ensure that ISF is complete, adequately, and accurately maintained. The correspondence will be uploaded to Pfizer Trial Master File (PTMF).  Observation 2.Before 29 Feb 2024, the CRA will request to the Sub-I to complete the missing training in Firecrest. During the next regular contacts and next two MVs to be completed before 29 Feb 2024, the CRA will check that SI training is completed. The training completion will be documented in the MVR.  Observation 3.Before 29 Feb 2024, the CRA will request to the SN to document the missing trainings in the study Training Log. During the next two MVs to be completed before 29 Feb 2024, the CRA will check that SN training log is updated, a copy will be collected to be filed in the electronic Trial Master File and it will be documented in the MVR.The CRA team will be reminded by the gCOL in e-mail by 29 Feb 2024 about training requirements and will distribute monthly Firecrest reports with all pending trainings for team follow up. The CRA team will be reminded that during each MV, the CRA should review and ensure that trainings are complete on time. The correspondence will be uploaded to PTMF.                  Responsible Role(s): CRA and rCOL  </t>
  </si>
  <si>
    <t>Training &amp; Qualifications</t>
  </si>
  <si>
    <t>Training not completed or documented in a timely manner</t>
  </si>
  <si>
    <t>Pascual Ponce, Xenia</t>
  </si>
  <si>
    <t>QE-081895</t>
  </si>
  <si>
    <t>Informed consent process was not adequately documented to confirm the attributability of one participant’s signature [ICH E6 (R2) 4.8.8] . &amp;nbsp; Participant 11551002: The handwritten signature, name and date recorded in the participant's section of the Informed Consent Document (ICD) version 5.5.1, signed on 22 Nov 2022 as the initial consent, was different than the handwritten signature, name and date recorded in the ICD version 6.6.0, signed on 3 Apr 2023. Note: Both ICDs were signed by the Principal Investigator. The main Study Coordinator mentioned that the writing recorded on the ICD version 6.6.0 could have been done by be the participant’s husband. &amp;nbsp;It was only mentioned in the medical records that the participant signed the informed consent, but there was no explanation of the different handwritting.</t>
  </si>
  <si>
    <t xml:space="preserve">The outcome of the discussion on ICD fulfillment was documented in a contact report in Siebel System for the date 30-Nov-2023.The CRA (Clinical Research Associate) had confirmed during the MV on 22-Dec-2023 and on 21-Feb-2024, that the clarification related to ICD version 6.6.0 signatures in the participant EMR has been done by the Principal Investigator (PI). This review was documented in the Monitoring Visit Report (MVR).Lessons learnt from audit was shared with rest of study team. </t>
  </si>
  <si>
    <t>During the regular contact, done on 30 Nov 2023, the Parexel Clinical Research Associate (CRA) requested the Principal Investigator (PI) to update the participant 11551002 electronical medical records (EMR) with a clarification about the ICD (Informed Consent Document) version 6.6.0 signatures. During this contact, the PI confirmed to the CRA that participant 11551002 signed and dated the ICD herself, but participant name was written in the field for the name, by her husband. The outcome of the discussion will be documented in a contact report in Siebel System.The CRA (Clinical Research Associate) will confirm in the next two MVs (Monitoring Visit) to be completed before 29 Feb 2024 that the clarification related to ICD version 6.6.0 signatures in the participant EMR has been done by the Principal Investigator (PI). This review will be documented in the Monitoring Visit Report (MVR) and in the Follow Up letter.                               Responsible Role(s): CRA</t>
  </si>
  <si>
    <t>The Clinical Research Associate (CRA) had re-trained the Principal Investigator (PI) and Sub-Investigator (SI) in the informed consent process during the MV on 22-Dec-2023. The training was documented in the Site Training Log and Monitoring Visit Report (MVR). The CRA had re-trained the PI, SI and Study Coordinator (SC) during the MV, dated 21-Feb-2024 on ALCOACCEA (Accurate, Legible, Contemporaneous, Original, Attributable, Complete, Consistent, Enduring and Available) criteria, including informed consent process. The training was documented in the Site Training Log and MVR.</t>
  </si>
  <si>
    <t xml:space="preserve">The Clinical Research Associate (CRA) will re-train the Principal Investigator (PI) and Sub-Investigator (SI) in the informed consent process during the next two monitoring visits on site to be completed before 29 Feb 2024. The training will be documented in the Site Training Log and Monitoring Visit Report (MVR). The CRA will re-train the PI, SI and Study Coordinator (SC) during the two MVs to be completed before 29 Feb 2024 on ALCOACCEA (Accurate, Legible, Contemporaneous, Original, Attributable, Complete, Consistent, Enduring and Available) criteria, including informed consent process. The training will be documented in the Site Training Log, MVR and Follow Up letter.                                                                                                                                                                                                                                              Responsible Role(s): CRA </t>
  </si>
  <si>
    <t>Informed Consent Documents (ICDs) available at the site were reviewed on 22-Dec-2023 during the MV by CRA and it was confirmed, that they were signed and dated by the participants and investigators properly. This review was documented in the Monitoring Visit Report (MVR).The entire Parexel CRA team was reminded by the Parexel PL in e-mail 27-Feb-2024 on the proper consent process and procedures. The CRAs were also instructed by the PL to maintain close follow-up to ensure all patients are re-consenting appropriately. This close follow-up must be performed not only by MVs but also during ongoing contacts with the sites in order to prevent similar issues to occur in other study sites. The correspondence was uploaded to Pfizer Trial Master File (PTMF).Local Pfizer Site Excellence Partner (SEP) was informed about the finding via separate e-mail on 28-Feb-2024 by rCOL.</t>
  </si>
  <si>
    <t xml:space="preserve">Before 29 Feb 2024, the CRA) will review all the Informed Consent Documents (ICDs) available at the site to confirm that were signed and dated by the participants and investigators properly. This review will be documented in the Monitoring Visit Report (MVR).The entire Parexel CRA team will be also reminded by the Parexel Global Clinical Operations Leader (gCOL) in e-mail by 29Feb 2024 on the proper consent process and procedures. The CRAs will be also instructed by the gCOL to maintain close follow-up to ensure all patients are re-consenting appropriately. This close follow-up must be performed not only by MVs but also during ongoing contacts with the sites in order to prevent similar issues to occur in other study sites. The correspondence will be uploaded to Pfizer Trial Master File (PTMF).Local Pfizer Site Excellence Partner (SEP) will be informed about the finding via separate e-mail before 29 Feb 2024 by rCOL.                                                                                             Responsible role(s): CRA , GCOL </t>
  </si>
  <si>
    <t>QE-081885</t>
  </si>
  <si>
    <t>The protocol requirements were not followed for 3 of 3 participants reviewed (Pfizer Protocol C4221016 Amendment 4, 14 Feb 2023; Pfizer Protocol Amendment 3, 8 Jun 2022). &amp;nbsp; The Electrocardiograms (ECGs) were not done first in the visit or at least 30 min after blood collection, as required by the protocol. &amp;nbsp;According to the times collected in the study nurses' worksheets, this requirement was not fulfilled for: -Participant 11551001 at Cycle 1 Day 1, Cycle 2 Day 2, Cycle 2 Day 8 -Participant 11551003 at Screening -Participant 11551004 at Cycle 9</t>
  </si>
  <si>
    <t xml:space="preserve">The CRA had checked the SD during the MV on 22-Dec-2023 and ensured, that all Protocol Deviations (PDs) are recorded for each inadequate ECG taken to the subject participants. PDs are not the subject to be submitted to Ethics Committee (EC) as per local EC requirements.  The CRA had reminded the Principal Investigator (PI), Sub-Investigator (SI), Study Coordinator (SC) and Study Nurse (SN) the importance of a proper protocol adherence and correct procedure to perform the Electrocardiograms (ECGs) at each participant visit during the MV on 22-Dec-2023. The respective training was reflected in Site Training Log.The entire Parexel CRA team was also reminded by the Parexel Project Leader (PL) via e-mail on 27-Feb-2024 on the importance of a proper participant EMRs and ALCOACCEA criteria. The CRAs were also instructed to maintain close follow-up to ensure all participant records are properly updated as per protocol requirements. The correspondence was uploaded to Pfizer Trial Master File (PTMF).The CRA had discussed with the SNs the possibility of updating the SN note templates as mentioned on 29-Nov-2023. The outcome of the discussion was documented in contact report for the respective date.The CRA had re-trained the Study Nurses (SNs) during the MV dd 22-Dec-2023 on the ECG procedures. This re-training was documented in the MVR and in the Site Training Log.       </t>
  </si>
  <si>
    <t xml:space="preserve">The Clinical Research Associate (CRA) will ensure that a Protocol Deviation (PD) is recorded for each inadequate ECG taken to the subject participants before 29 Feb 2024. PD will be submitted to EC per Ethic Committee (EC) requirement, if applicable.  The CRA to remind the Principal Investigator (PI), Sub-Investigator (SI), Study Coordinator (SC) and SN via mail the importance of a proper protocol adherence and correct procedure to perform the ECGs at each participant visit before 29 Feb 2024. The correspondence will be uploaded to Pfizer Trial Master File (PTMF).The entire Parexel CRA team will be also reminded by the Parexel Global Clinical Operations Leader (gCOL) via e-mail by 29 Feb 2024 on the importance of a proper participant EMRs and ALCOACCEA criteria. The CRAs will be also instructed by the gCOL to maintain close follow-up to ensure all participant records are properly updated as per protocol requirements. The correspondence will be uploaded to Pfizer Trial Master File (PTMF).The CRA contacted via phone on 29 Nov 2023 to the Study Coordinator and SN to suggest the possibility of updating the SN note templates with the ECG requirements. Contact Report was entered in Siebel System. The CRA will also discuss with the SNs the possibility of updating the SN note templates as mentioned during the next two Monitoring Visits (MVs) to be completed before 29 Feb 2024. The outcome of the discussion with be documented in the Monitoring Visit Report (MVR) and in the Follow Up letter.CRA to re-train the SNs during the next two MVs to be completed before 29 Feb 2024 on the ECG procedures. This re-training will be documented in the MVR and in the Site Training Log.                                                                                                                                                                                                                                                       Responsible Role(s): CRA and rCOL </t>
  </si>
  <si>
    <t>QE-081890</t>
  </si>
  <si>
    <t>Site monitoring activities were not accurately documented [ICH E6 (R2) 5.18.4, (Pfizer SOP INV04-GSOP 4.0 Investigational Site Management and Monitoring, effective date 01 Jun 2022)] &amp;nbsp; 1.The site monitoring visit log did not capture the following on site visits: site monitoring visit dated 30 Jun 2023 and oversight visits dated 29 Sep 2022 and 7 Oct 2022. 2.An issue reported by the previous monitor was inaccurate. The issue was created on 9 Nov 2022 in the Issues and Action log reporting that central lab reports for patient 11551001 (from Screening to C5D1) were not dated and signed by investigator despite several reminders. The issue was closed on 26 Jan 2023 indicating that reports were signed. However, the reports filed in the participant’s binder were dated prior to open the issue; for example: screening lab report was signed and dated on 27 Jul 2022; Cycle 1 Day 8 dated 5 Aug 2022; Cycle 2 Day 1 dated 22 Aug 2022 or Cycle 4 Day 1 dated 22 Sep 2022 &amp;nbsp; Note: the current monitor started in the site in August 2023 so the gaps in the documentation applied to the previous monitor(s)</t>
  </si>
  <si>
    <t>The PI had documented in a Note to File site procedure to review the central laboratory reports, and had confirmed, that they are reviewed when received, even if by mistake are not signed and dated the same day of the review. The PI had also added in the Note to File a comment to clarify that the laboratory reports mentioned in the observation 2 by the auditor were signed retrospectively by misunderstanding. The CRA had checked during the Monitoring Visit on 21-Feb-2024 that note to file has been signed and dated by the PI.The CRA had re-trained the PI and Sub-Investigator (SI) during the MV on 21-Feb-2024, on ALCOACCEA principles, emphasizing the concepts of Source Data, Source Document, and also the importance of collecting contemporaneous data, completed and accurate. The training was documented in the Site Training Log and MVR.</t>
  </si>
  <si>
    <t xml:space="preserve">Observation 1. The PI to document in a Note to File who attended to the visits where the monitoring visit log was not signed and dated by the previous CRA and Pfizer Site Excellence Partner (SEP). This information can be obtained by the current CRA from the MVR and Pfizer Oversight Reports and provide it to the PI for his reference. Observation 2.The PI to document in a Note to File site procedure to review the central laboratory reports, and to confirm that they are reviewed when received, even if by mistake are not signed and dated the same day of the review. The PI will also add in the Note to File a comment to clarify that the laboratory reports mentioned in the observation 2 by the auditor were signed retrospectively by misunderstanding. The CRA to check during the next two Monitoring Visits (MVs) to be completed before 29 Feb 2024 that note to file has been signed and dated by the PI.The CRA to re-train the PI and Sub-Investigator (SI) during the next two MVs to be completed before 29 Feb 2024, on ALCOACCEA principles, emphasizing the concepts of Source Data, Source Document, and also the importance of collecting contemporaneous data, completed and accurate. The training will be documented in the Site Training Log and MVR.The entire Parexel CRA team will be also reminded by the Parexel Global Clinical Operations Leader (gCOL) via e-mail by  29 Feb 2024 on the importance of the central laboratory report review, signature and date, considered part of the participant EMRs and ALCOACCEA criteria. The CRAs will be also instructed by the gCOL to maintain close follow-up to ensure all participant records are properly updated as per protocol requirements, the correspondence will be uploaded to Pfizer Trial Master File (PTMF)..7pt;"Responsible Role(s): CRAs and gCOL </t>
  </si>
  <si>
    <t>QE-081904</t>
  </si>
  <si>
    <t>One discrepancy related to exclusion criteria was detected between the source documents and the electronic Case Report Form (eCRF) for 1 of 3 participants reviewed [ICH E6 (R2) 4.9.2]. In the eCRF it was reported that the Participant 11551001 received adjuvant therapy from June 2021 to February 2022. In the notes collected by the dermatology department it was reported that the adjuvant therapy stopped on 11 Oct 2021.&amp;nbsp; Note: the participant was randomized on 25 Jul 2022 and according to the exclusion criteria 21,&amp;nbsp; participants receiving prior systemic adjuvant therapy ≤ 6 months prior to randomization could not be included</t>
  </si>
  <si>
    <t xml:space="preserve">The Clinical Research Associate (CRA) had performed Source Data Verification (SDV) on 28Nov2023 and ensured that the discrepancy was corrected. The CRA had re-trained the SC on the eCRF and Source Data recording during Monitoring Visit (MV) 22-Dec-2023. This re-training was documented in the site Training Log and Monitoring Visit Report (MVR).       </t>
  </si>
  <si>
    <t xml:space="preserve">The Clinical Research Associate (CRA) performed Source Data Verification (SDV) on 28Nov2023 and ensured that the discrepancy was corrected. The CRA will re-train the SC on the eCRF and Source Data recording during the next two Monitoring Visits (MVs) to be completed before 29 Feb 2024. This re-training will be documented in the site Training Log and Monitoring Visit Report (MVR).                                                                                                                                                                                                                 Responsible Role(s): CRA  </t>
  </si>
  <si>
    <t>QE-081883</t>
  </si>
  <si>
    <t>Source documents did not respect ALCOACCEA criteria (Accurate, Legible, Contemporaneous, Original, Attributable, Complete, Consistent, Enduring, &amp;amp; Available) for 3 of 3 participants reviewed [(ICH E6 (R2); 2.10, 4.9.0)]. &amp;nbsp; The&amp;nbsp;following&amp;nbsp;examples&amp;nbsp;were&amp;nbsp;noted: 1.According to the protocol all scheduled Electrocardiograms (ECGs) should be performed after the participant has rested quietly (ideally for at least 10 min in supine position), but for the 3 participants reviewed, the resting time was not documented in the source documents. 2.For participant 11551001, print outs of the visits dated 22 Nov 2022, 13 Dec 2022 or 27 Dec 2022 were not signed and dated by the person who confirmed the accuracy of the print outs. 3.For Participant 11551004 the time of blood sampling collection was not recorded at screening so it was not possible to confirm if the ECG was conducted prior to the blood sampling or at least 30 min later, as required per protocol. 4.For the 2 female participants reviewed (11551001 and 11551004), aged 79 and 78 years old, it was mentioned in the medical notes that the participants agreed to use effective contraception methods during the study. However these participants did not have childbearing potential.</t>
  </si>
  <si>
    <t xml:space="preserve">Action 1. The CRA had checked the SD during the MV on 22-Dec-2023 and ensured, that respective Protocol Deviations (PDs) are recorded into Siebel for each inadequate Electrocardiogram (ECG) taken to the participants, PDs are not the subject to be submitted to Ethics Committee (EC) as per per EC requirements. The CRA had reminded the Principal Investigator (PI), Sub-Investigator (SI), Study Coordinator (SC) and Study Nurse (SN) the importance of a proper protocol adherence and correct procedure to perform the Electrocardiograms (ECGs) at each participant visit during the MV on 22-Dec-2023. The respective training was reflected in Site Training Log.The CRA had re-trained the Study Nurses (SNs) during the MV on 22-Dec-2023 on the Electrocardiogram (ECG) procedures. This re-training was documented both, in the Monitoring Visit Report (MVR) as well as in the Site Training Log. Action 2.The CRA had checked the SD during the MV on 22-Dec-2023 and ensured, that an issue is recorded for the participant 11551001 Electronical Medical Records (EMRs) not signed and dated by the PI or SI in the Siebel System (date of entry is 22-Dec-2023).Via email dd 27-Feb-2024 as well as during the regular MVs to the site, the CRA had provided instructions and guidance to the PI or the SC in charge of preparation of copies of the EMR to verify the copies not certified against the original and to confirm that the same information, including data that describe the context, content, and structure is available. The SC who made the copies was instructed by CRA to also sign and date the copies including the statement which will clarify that it was not done by the first time printed. During the MV dd 21-Feb-2024 CRA had checked and confirmed, that copies are correctly certified and had documented the actions and their completion in the MVR. During the MV dd 21-Feb-2024 CRA had re-trained the PI and SI on ALCOACCEA criteria ((Accurate, Legible, Contemporaneous, Original, Attributable, Complete, Consistent, Enduring, &amp;amp; Available)), including proper maintenance of the participants EMRs. The training was documented in the Site Training Log and MVR.Action 3. On 21-Feb-2024 CRA had ensured, that Protocol Deviation (PD) is recorded in Siebel System for the missing blood sampling collection time in the participant EMR.Via email to the SNs dd 27-Feb-2024 CRA had requested to document in the 11551004 participant EMR the time for blood sampling collection at screening visit. During the MV dd 21-Feb-2024 CRA had re-trained SNs on ALCOACCEA criteria, including proper maintenance of the participants EMRs. The training was documented in the Site Training Log and MVR. Action 4.Via email dd 27-Feb-2024 CRA had reminded PI and SI to update participants 11551001 and 11551004 EMR to confirm that they are not childbearing potential.During the MV dd 21-Feb-2024 CRA had performed Site Document Review (SDR) for contraception methods for 11551001 and 11551004and confirmed that participant EMRs were updated and had documented this in the MVR.The CRA had recorded Siebel issue on the 22-Dec-2023 to increase SDR for contraception methods for 11551001 and 11551004 due to follow action updated/commented correctly.The CRA had re-trained the PI and SI during the MV dd 21-Feb-2024 on ALCOACCEA principles, emphasizing the concepts of Source Data, Source Document and Certified Copies, and also the importance of collecting contemporaneous data, completed and accurate. The training was documented in the Site Training Log and MVR. The entire Parexel CRA team was also reminded by the Parexel Project Leader (PL) in e-mail dd 27-Feb-2024 on the importance of a proper participant EMRs and ALCOACCEA criteria. In the same email, CRAs were also instructed to maintain close follow-up to ensure all participant records are properly updated as per protocol requirement the correspondence was uploaded to Pfizer Trial Master File (PTMF).                </t>
  </si>
  <si>
    <t xml:space="preserve">Observation 1. The CRA will ensure that a Protocol Deviation (PD) is recorded into Siebel for each inadequate Electrocardiogram (ECG) taken to the participants before 29Feb 2024, PD will be submitted to Ethics Committee (EC) per EC requirement, if applicable.  The CRA to remind the Principal Investigator (PI), Sub-Investigator (SI), Study Coordinator (SC) and Study Nurse (SN) via mail the importance of a proper protocol adherence and correct procedure to perform the Electrocardiograms (ECGs) at each participant visit before 29 Feb 2024. The correspondence will be uploaded to Pfizer Trial Master File (PTMF).The CRA to re-train the Study Nurses (SNs) during the next two Monitoring Visits (MVs) to be completed before 29 Feb 2024 on the Electrocardiogram (ECG) procedures. This re-training will be documented both, in the Monitoring Visit Report (MVR) as well as in the Site Training Log.  Observation 2.The CRA will ensure that an issue is recorded for the participant 11551001 Electronical Medical Records (EMRs) not signed and dated by the PI or SI in the Siebel System before 29Feb2024.Before 29 Feb 2024, the CRA to provide via email instructions and guidance to the PI or the SC in charge of preparation of copies of the EMR to verify the copies not certified against the original and to confirm that the same information, including data that describe the context, content, and structure is available. The SC who made the copies to be instructed by CRA to also sign and date the copies including the statement which will clarify that it was not done by the first time printed. The CRA to confirm during the next two MVs to be completed before 29 Feb 2024 that copies are correctly certified and document the action and completion in the MVR. The CRA to re-train the PI and SI during the two MVs to be completed before 29 Feb 2024 on ALCOACCEA criteria ((Accurate, Legible, Contemporaneous, Original, Attributable, Complete, Consistent, Enduring, &amp;amp; Available)), including proper maintenance of the participants EMRs. The training will be documented in the Site Training Log and MVR. Observation 3. The CRA will ensure that Protocol Deviation (PD) is recorded in Siebel System before for the missing blood sampling collection time in the participant EMR before 29 Feb 2024.The CRA will request via mail to the SNs to document in the 11551004 participant EMR the time for blood sampling collection at screening visit if available, before 29 Feb 2024.The CRA to re-train the SNs during the next two MVs to be completed before 29 Feb 2024 on ALCOACCEA criteria, including proper maintenance of the participants EMRs. The training will be documented in the Site Training Log and MVR. Observation 4. The CRA will remind request via email before 29 Feb2024 to the PI and SI to update participants 11551001 and 11551004 EMR to confirm that they are not childbearing potential.The CRA will perform Site Document Review (SDR) for contraception methods for 11551001 and 11551004 in the next monitoring visit (MV) before 29 Feb 2024 and confirm that participant EMRs were updated and will document it in the MVR.The CRA will record Siebel issue to increase SDR for contraception methods for 11551001 and 11551004 due to follow action updated/commented correctly by next MV before 29 Feb2024.The CRA to re-train the PI and SI during the next two MVs to be completed before 29 Feb 2024 on ALCOACCEA principles, emphasizing the concepts of Source Data, Source Document and Certified Copies, and also the importance of collecting contemporaneous data, completed and accurate. The training will be documented in the Site Training Log and MVR. The entire Parexel CRA team will be also reminded by the Parexel Global Clinical Operations Leader (gCOL) in e-mail by 29 Feb 2024 on the importance of a proper participant EMRs and ALCOACCEA criteria. The CRAs will be also instructed by the gCOL to maintain close follow-up to ensure all participant records are properly updated as per protocol requirement the correspondence will be uploaded to Pfizer Trial Master File (PTMF).                                                                                                                                                                                         Responsible Role(s): CRA and rCOL </t>
  </si>
  <si>
    <t>CP405 - Records &amp; Information Management Policy and Procedure</t>
  </si>
  <si>
    <t>AIA-004234</t>
  </si>
  <si>
    <t>QE-113001</t>
  </si>
  <si>
    <t>Trevino Aguirre, Sergio Arnoldo</t>
  </si>
  <si>
    <t>MEXICO</t>
  </si>
  <si>
    <t>C4221016_1139</t>
  </si>
  <si>
    <t>For 3 of 3 participants reviewed, study assessments and tests were not completed as required by the protocol [Pfizer Protocol C4221016 (Amendment 5: 09 October 2023)]. A. All results for the electrocardiograms (ECG) were manually calculated by a clinician; however, the protocol stated that "Standard 12-lead ECGs should be collected at the time points specified in the Schedule of Activities using an ECG machine that calculates the mean heart rate and measures QTcF interval and also collects QT interval, PR interval, and QRS complex." B. Participant 11391003 1. Screening Visit [10 Jan 2023] a. The visit note did not state if the participant was given the Emergency Contact card during this visit. 2. Cycle 1 Day 15 [21 Feb 2023] a. Chemistry panel results showed Calcium at 8.5 milligrams per deciliter (mg/dL); however, the Sub-Investigator (Sub-I) crossed out the result and added a note which stated "the correct value is 8.9 mg/dL, and it is normal".&amp;nbsp; 3. Cycle 2 Day 1 &amp;nbsp;[28 Feb 2023] a. The evaluation note listed that the participant was using a condom as the method of contraception; however, two methods of contraception were required when a highly effective method user dependent was used. b. The central laboratory (PPD) results were not assessed if clinically significant (cs) or not clinically significant (ncs) by an investigator. 4. Cycle 3 Day 1 [21 Mar 2023] a. Urine pregnancy test was not completed at this visit.&amp;nbsp; 5. Cycle 5 Day 1 [02 May 2023] a. The central laboratory (PPD) results showed elevated Creatine Clearance; however, the result was not marked if cs or ncs by an investigator.&amp;nbsp; 6. Cycle 8 Day 1 &amp;nbsp;[04 Jul 2023] a. Chemistry panel results showed Calcium at 8.5 mg/dL; however, the Sub-Investigator (Sub-I) crossed out the result and added a note which stated "the correct value is 9.0 mg/dL, and it is normal". 7. Cycle 9 Day 1 [25 Jul 2023] a. The central laboratory(PPD) results showed elevated Creatine Clearance; however, the result was not marked if cs or ncs by an investigator.&amp;nbsp; 8. Cycle 11 Day 1 [05 Sep 2023] a. The central laboratory (PPD) Critical Value Alert report was sent to the site on 08 Sep 2023; however, the report was not signed by investigator until 18 Sep 2023, 10 days delayed. 9. Cycle 16 Day 1 [19 Dec 2023] a. Urine pregnancy test was not completed at this visit.&amp;nbsp; 10. Cycle 17 Day 1 [10 Jan 2024] a. ECG was not completed at this visit.&amp;nbsp; b. Echocardiogram (ECHO) was not completed at this visit.&amp;nbsp; c. The central laboratory (PPD) results were available for review on 29 Feb 2024; however, the Sub-I dated his review of the results on 10 Jan 2024.&amp;nbsp; 11. Cycle 18 Day 1 [30 Jan 2024] a. Central Laboratory (PPD) results were available for review on 29 Feb 2024; however, the Sub-I dated his review of the results on 30 Jan 2024. 12. Cycle 19 Day 1 [20 Feb 2024] a. The central laboratory (PPD) results were available for review on 29 Feb 2024; however, the Sub-I dated his review of the results on 20 Feb 2024. b. Electronic Patient Report Outcomes (ePRO) were not completed at this visit.&amp;nbsp; C. Participant 11391004 1. Cycle 1 Day 1 [08 Feb 2023] a. Time of ECG 2 and 3 was within the same minute. ECG 2 time was listed as 10:14:17 and time of ECG 3 was listed as 10:14:28. D. Participant 11391005 1. Screening Visit [18 Oct 2023] a. Three of 3 ECG results were marked as abnormal; however, the investigator did not assess if the ECG results were cs or ncs.&amp;nbsp; 2. Cycle 2 Day 1 [30 Nov 2023] a. The central laboratory (PPD) laboratory results, the investigator was required to assess the clinical significance by circling Yes or No; however, the investigator left it blank. 3. Cycle 3 Day 1 [21 Dec 2023] a. The central laboratory (PPD) results, the investigator was required to assess the clinical significance by circling Yes or No; however, the investigator left it blank. 4. Cycle 5 Day 1 [01 Feb 2024] a. ECHO was completed on 01 Feb 2024 and the ECHO report was available on 01 Feb 2024; however, the ECHO results were not acknowledged by an investigator until 17 Feb 2024, 16 days delayed. b. The ECG results were marked as abnormal; however, the investigator did not assess if the ECG results were cs or ncs.</t>
  </si>
  <si>
    <t>-During Management visit was confirmed that new ECG equipment was purchased and is currently in used for the study. --B1.  Emergency card was provided during Visit 1 cycle 1, and documented into the medical note C1D1. No addtional correction action required.-B2, B6: Site to add a clarification note referring the rational of the cross-out result for each case.-B3a No additional correction action. CRA to confirm the PD was properly submitted in CTMS and reported to EC. CRA to provide training in ALCOA+-B3b, B5, B7, D1, D2, D3, D4b.: Site to update the missing information in the lab results/medical note.-B8, D4: Site to document in a NTF the rationale of the late review and complete ALCOA+ training (to be provided by the CRA on the next MV)-B4, B9, B10a, B10b, B12b: No additional correction action. CRA to confirm the PD was properly submitted in CTMS and reported to EC. CRA to provide training in protocol.-B10c, B11. B12a: Site to add a clarification note reg the date discrepancy for each case. Site staff will be trained in ALCOA+-C1. No additional correction action required.</t>
  </si>
  <si>
    <t xml:space="preserve">- A. The site will acquire equipment that complies with the printing of an automatic report with the electrocardiogram values, it will begin to be applied once it is authorized by the purchasing department, approximately July 15, 2024. Will be added the ID number and DB to the printed ECG-B1.  Emergency card was provided during Visit 1 cycle 1, and documented into the medical note C1D1. No addtional correction action required.-B2, B6: Site to add a clarification note referring the rational of the cross-out result for each case.-B3a No additional correction action. CRA to confirm the PD was properly submitted in CTMS and reported to EC. CRA to provide training in ALCOA+-B3b, B5, B7, D1, D2, D3, D4b.: Site to update the missing information in the lab results/medical note.-B8, D4: Site to document in a NTF the rationale of the late review and complete ALCOA+ training (to be provided by the CRA on the next MV)-B4, B9, B10a, B10b, B12b: No additional correction action. CRA to confirm the PD was properly submitted in CTMS and reported to EC. CRA to provide training in protocol.-B10c, B11. B12a: Site to add a clarification note reg the date discrepancy for each case. Site staff will be trained in ALCOA+-C1. No additional correction action required.Responsible Role: Site Care Partner/Site Monitor/Site coordinator   Action Owner: Javier Cortes/Andrea Torres/Site coordinator   </t>
  </si>
  <si>
    <t>Javier Cortes</t>
  </si>
  <si>
    <t>CT40 - Protocol Deviations</t>
  </si>
  <si>
    <t>Cortes, Javier</t>
  </si>
  <si>
    <t xml:space="preserve">GCP, good documentation practices,and  ECG protocol Training session provided. </t>
  </si>
  <si>
    <t xml:space="preserve">Fully training session GCP requirements/ responsibilities, good documentation practices and ECG protocol procedures. </t>
  </si>
  <si>
    <t>A detailed training session for all site staff including GCP requirements/ responsibilities, good documentation practices and review of the current protocol</t>
  </si>
  <si>
    <t>QE-113009</t>
  </si>
  <si>
    <t>For 2 of 3 participants reviewed, the participants were not reconsented to the revised informed consent in a timely manner [Pfizer Protocol C4221016 (Amendment 5: 09 October 2023 ); ICH E6(R2) 4.8.2]. 1. ICD version 5 was approved and available for use at the on 17 Jan 2024. a. Participant 11391003 had an onsite visit for Cycle 18 on 30 Jan 2024; however, the participant was not reconsented at this visit. Participant was reconsented on the onsite visit for Cycle 21 visit on 04 Apr 2024, 64 days delayed. b. Participant 11391005 had an onsite visit for Cycle 15 visit on 01 Feb 2024; however, the participant was not reconsented at this visit. Participant was not reconsented to the new ICD prior to progression of disease and death on 30 Mar 2024.</t>
  </si>
  <si>
    <t xml:space="preserve">1 a- Site has submitted PD on Apr 04th, 2024 to IRB/EC; patient 11391003 was re-consent during the visit C21D1-Apr 04th, 2024. 1b- Site has submitted PD on Apr 04th, 2024 to IRB/EC. Patient was not re-consent during her visit C15D1, by omission. Patient finally could not be re-consent due to fatal SAE on March 30, 2024. </t>
  </si>
  <si>
    <t>1 a- Site has submitted PD on Apr 04th, 2024 to IRB/EC; patient 11391003 was re-consent during the visit C21D1-Apr 04th, 2024. No additional correction action required.1b- Site has submitted PD on Apr 04th, 2024 to IRB/EC. Patient was not re-consent during her visit C15D1, by omission. Patient finally could not be re-consent due to fatal SAE on March 30, 2024.  No additional correction action required.</t>
  </si>
  <si>
    <t>QE-113002</t>
  </si>
  <si>
    <t>For 3 of 3 participants, Adverse Event (AE) reporting from the investigator site to Pfizer was incomplete and/or inaccurate. [ Pfizer Protocol C4221016 (Amendment 5: 09 October 2023) ]. A. There was an inconsistency in the definition of the abnormal laboratory values that met the criteria for an AE. Abnormal laboratory results were marked as not clinically significant (ncs) by a clinician and were entered as AE in the electronic Case Report Form (eCRF); however, the protocol stated &amp;nbsp;"Any abnormal laboratory test results (hematology, clinical chemistry, or urinalysis) or other safety assessments (e.g., electrocardiogram (ECG), radiological scans, vital sign measurements), including those that worsen from baseline, considered clinically significant in the medical and scientific judgment of the investigator meet the AE definition", the investigators did not follow this definition of AE.&amp;nbsp; 1. The Sub-Investigator (Sub-I) stated that they considered any abnormal laboratory result toxicity grade 3 to meet the criteria for AE however, for participant 11391003 grade 2 anemia, leukopenia, lymphopenia and neutropenia were entered as AEs in the eCRF. All 4 abnormal laboratory results were assessed as ncs.&amp;nbsp; B. Paper AE form was used for 1 of 10 AEs (participant 11391004) reported on site.&amp;nbsp; C. Participant 11391003 1. AE identifier 2 in the AE eCRF- Anemia&amp;nbsp; a. start date was listed as 23 May 2023, the toxicity grade was listed as 2. On 08 Sep 2023, a Critical Low Value report was sent to the site, which stated a low hemoglobin value was toxicity grade 3; however, the AE for worsening anemia was not entered in the eCRF. b. The AE was reported as present from 23 May 2023 to 28 Nov 2023. During this time period 10 safety laboratory tests were conducted, all 10 hemoglobin laboratory results were marked as grade 2 toxicity and ncs.&amp;nbsp; 2. AE identifier 3 in the AE eCRF - Anemia&amp;nbsp; a. Start date was listed as 20 Feb 2024, the Sub-I marked the low hemoglobin as Grade 3, ncs on the local lab report from 20 Feb 2024; however, the event was entered as an AE.&amp;nbsp; b. Cycle 19 Day 1 (20 Feb 2024) Progress note did not state if the AE was related to IP or assess of the AE meet the criteria for a SAE.&amp;nbsp; c. Cycle 20 Day 1 (12 Mar 2024) Progress note stated that the AE was not an SAE, IP was suspended until recovery of AE to grade 2.&amp;nbsp; d. A clarification note was added on 12 Apr 2024, which described the narrative of the AE from 20 Feb 2024 to 04 Apr 2024 when the participant restarted investigational product (IP). The participant had multiple visits to the site and consulted with a hematologist during this period; however, each site visit was not documented in a separate Progress/Evaluation Note. There was no documentation of the participant visit to the site for 05 Mar 2024, 26 Mar 2024, and 02 Apr 2024.&amp;nbsp; 3. AE identifier 4 in the AE eCRF - Leukopenia end date was listed as 30 Jan 2024; however, it was listed as ongoing in the eCRF. 4. AE identifier 5 in the AE eCRF- Neutropenia end date was listed as 30 Jan 2024; however, it was listed as ongoing in the eCRF. D. Participant 11391004 1. AE identifier 1 in the AE eCRF - Death due to disease progression (SAE) a. The paper AE form listed the action taken with IP as "no action taken"; however, it was listed as "drug withdrawn" in the eCRF and PSSA.&amp;nbsp; b. The start date for SAE was listed as 13 Feb 2024; however, the paper AE form was not completed until 27 Feb 2024, 14 days delayed. E. Participant 11391005 1. AE identifier 2 in the AE eCRF - Rhabdomyolysis&amp;nbsp; a. The AE was listed as ongoing; however, the participant died on 30 Mar 2024. When this was discussed with the Principal Investigator and Sub-Investigator, they stated that the rhabdomyolysis was due to the participant's progression of disease and the AE was invalid; however, the AE was still listed in eCRF at the time of audit.&amp;nbsp; b. The start date for this event was listed as 10 Mar 2024; however, the AE was not entered in eCRF until 11 Apr 2024.&amp;nbsp; 3. AE identifier 3 in the AE eCRF - Decrease in Ejection Fraction a. The action taken for Encorafenib was listed as drug interrupted; however, drug dose was adjusted from 450mg to 300mg per day.&amp;nbsp; b. The action taken for Binimetinib was listed as drug interrupted; however, drug dose was adjusted from 45mg to 30mg twice a day.&amp;nbsp; c. The end date for this event was listed as 6 Dec 2023; however, the AE was not entered in eCRF until 11 Apr 2024.&amp;nbsp; 4. AE identifier 1 in the AE eCRF - Disease Progression (SAE) a. The dose for Encorafenib was listed as 450mg (milligrams)/24hours; however, the participant's dose was reduced to 300mg/24 hours in Dec 2023 as documented in the Evaluation Note for Cycle 2 Day 8. b. The dose for Binimetinib was listed as 45mg every 12 hours; however, the participant's dose was reduced to 30mg every 12 hours in Dec 2023 as documented in the Evaluation Note for Cycle 2 Day 8.</t>
  </si>
  <si>
    <t>-A. Medical staff confirm that listed AE corresponds with NCS events; eCRF will be updated as soon is confirmed by the cSOM that AEs can be removed from the CRF.-B. The site will not use additional logs to record AE data, they will thoroughly follow their internal procedure “PCE-016: NOTIFICACIÓN DE EVENTOS ADVERSOS Y EVENTOS ADVERSOS SERIOS”. SCP/Site Monitor, to review and verify the internal procedure be in adherence with the sponsor and local requirements for reporting.  -C1-C4 Site will be required to reconcile the AE information between the medical note and eCRF of subject 11391003 and update the CRF/source as required. Previous this the site will receive a training in good documentation practices and AE reporting/documentation by the CRA or SCP.Site staff and Data entry responsible will be trained on Data Entry timelines and source data requirements by the CRA or SCP.  -D. Site to perform a source data and CRF reconciliation of the SAE and to update as required. Medical staff must improve communications with the Data entry responsible to ensure data entry timelines is achieved and to have special attention with SAE reporting. E.    Site to reconcile the information of the AE line 1, 2, 3 and to update the source or CRF as required. Previous this the site will receive a training in good documentation practices and AE reporting/documentation by the CRA or SCP</t>
  </si>
  <si>
    <t>Safety Information Communication</t>
  </si>
  <si>
    <t>Failure/Incomplete safety communication</t>
  </si>
  <si>
    <t xml:space="preserve">AE and SAE full training provided during Management visit. </t>
  </si>
  <si>
    <t>-A detailed training session for all site staff including AE and SAE reporting, source data requirements (Good Documentation Practices/ALCOA+) and Data entry timelines.-PI to implement a process between the Data Entry staff and Medical staff (source data generator) to ensure both roles are properly communicated. This with the purpose to improve the consistency of the data entered in the CRF and to avoid any delay on data entry (ie.SAEs,)-AE re-monitoing of all subjects to identify any other discrepancy.</t>
  </si>
  <si>
    <t>QE-113004</t>
  </si>
  <si>
    <t>Investigational Product (IP) shipment, accountability and preparation records were not completed as required [Pfizer Protocol C4221016 Investigational Product Manual (Version 4: 27 Apr 2023)]. 1. For 3 of 3 participants reviewed, the Pembrolizumab IP preparation form listed the printed date of the expiration on the IP kit as the "expiry date and time of prepared dose"; however, the expiration date/time was required to be listed as 6 hours after the start of IP preparation. There was a note to file was stored in the participants' charts regarding this mistake, but no corrections were made to the completed preparation forms.&amp;nbsp; 2. The IP Accountability logs (IPAL) were not completed as required. a. Encorafenib used kits were marked as destroyed by the Clinical Research Associate (CRA); however, the site staff did not initial the IPAL to confirm the&amp;nbsp;destruction. b. Binimetinib used kits were marked as destroyed by the CRA; however, the site staff did not initial the IPAL to confirm the destruction. c. Pembrolizumab used kits were marked as destroyed by the CRA; however, the site staff did not initial the IPAL to confirm the destruction. 3. For Shipment# 1782655, the Proof of Drug Shipment and Receipt form was not completed properly. The site staff were required to answer two questions: if there were any temperature excursions during shipment - Yes or No; and if the package was damaged during shipment - Yes or No. Both questions were left blank.</t>
  </si>
  <si>
    <t xml:space="preserve">1. Pharmacy staff to update the Pembrolizumab IP preparation form, site monitor to verify the form during the next IMV.2. IPALs has been completed according GCP, Site monitor to verify the form during next MV. 3. IMP shipment form has been completed according GCP, Site monitor to verify the form during next MV.  </t>
  </si>
  <si>
    <t>-Full training session was adressed and following topics disscused: GDPs/ALCOA+, review of the medication forms and completeness expectation, Medication Receipt process and documentation..</t>
  </si>
  <si>
    <t>A detailed training session for the Pharmacy staff will be provided by the CRA/SCP, topics will be: GDPs/ALCOA+, review of the medication forms and completeness expectation, Medication Receipt process and documentation.</t>
  </si>
  <si>
    <t xml:space="preserve">Site monitor visit has been scheduled one per month in adherence with the action proposed. </t>
  </si>
  <si>
    <t xml:space="preserve">From now on, monitor will follow-up/ schedule monitoring visits with more frequent and will systematically the review of IP related forms to assure that pharmacy staff is properly filling them. </t>
  </si>
  <si>
    <t>QE-113000</t>
  </si>
  <si>
    <t>26 essential documents were missing or misfiled as required in the electronic Investigator Site File (e-ISF) [ICH GCP E6 (R2) Section 4.9.4]. 1. The following documents were missing from the ISF: a. Encorafenib Investigator Brochure (IB) [version 13: 13 May 2022] b. Encorafenib IB Pfizer Format [version 1: 01 May 2023] c. Binimetinib IB [version 18: 13 May 2022]&amp;nbsp; d. Binimetinib IB Pfizer Format [version 1: May 2023]&amp;nbsp; e. Pembrolizumab IB [version 22: 13 May 2022] f. Pembrolizumab IB [version 23: 26 Oct 2022] g. Pembrolizumab IB [version 24: 8 Nov 2023] h. IMPALA IRT User Manual [version 2: 19 May 2022] i. IMPALA IRT User Manual [version 3: 20 Dec 2022] j. Local Ethics Committee Approval [dated 09 Feb 2024] k. Current calibration record for height and weight scale. l. Current calibration records for seven infusion devices. m. Current calibration record for electrocardiogram. n. Current calibration records for two centrifuges. 2. The following documents were not maintained properly: a. The Signature Sheet and Delegation of Duties Log (SSDDL) was not maintained properly. i. Task 15 "Process Lab specimens" was added to the SSDDL; however, this was a duplicate of task 10a "Draw/Process Lab Specimen." ii. Task 19 "Prepare Investigational product" was added to the SSDDL; however, this was a duplicate of task 9a "calculate dosage, prepare Investigational product." iii. No site staff was delegated to task 15 "Process Lab specimens". iv. No site staff was delegated to task 17 "Help with 9 (9a, 9b, 9f) IP quality check". v. No site staff was delegated to task 27 " ISF Maintenance" was added. vi. 7 site staff were delegated to task 4 and some of the sub-tasks 4a-4e etc.; however, task 4 is delegated only if the site staff member has been delegated all sub-tasks 4a-4e (rows 4, 5, 9, 10, 11, 12, and 21 of the SSDDL). vii. 11 site staff were delegated to task 9 and some of the sub-tasks 9a-9g etc.; however, task 9 is delegated only if the site staff member has been delegated all sub-tasks 9a-9g (rows 1, 2, 4, 5, 9, 10, 11, 13, 20 and 21 of the SSDDL). &amp;nbsp;&amp;nbsp; viii. One Sub-Investigator (row 10, page 6 of the SSDDL) end date was listed as 26 Mar 2024; however, the PI did not initial and date in column 10 of the SSDDL. b. Site Monitoring Visit Log was not completed as required. i. The site representative did not counter sign the form to confirm the onsite visit for the Monitoring Visit conducted on 11 Dec 2023. ii. The site representative did not counter sign the form to confirm the onsite visit for the Oversight Visit conducted on 11 Dec 2023.</t>
  </si>
  <si>
    <t xml:space="preserve">During site visit, delegation task were reviewed and updated:-Duplicate tasks 15 and 19, were amendment according good documentation practices.-Task 27 ISD maintenance was delegate accordingly. -Clarification notes filled and archived regarding action item 2, VI and VII. -Missing SC signature into the visit log was completed and clarified, </t>
  </si>
  <si>
    <t>SSDDL will be reviewed by Site Monitor and SCP in conjunction with the site prior 15Jul2024, a crossover review between SSDDL and applicable study systems and updating the SSDDL format as required. Also, the Site Monitoring Visit Log will be updated by the site. All the corrections listed in this report will be done by 17Jul2024.</t>
  </si>
  <si>
    <t xml:space="preserve">Delegation activities were reviewed with current site staff and training in Good Documentation Practices were provided. </t>
  </si>
  <si>
    <t xml:space="preserve">Site Monitor/Site Care Partner will review remotely the SSDDL versus vendors users accounts and trainings to ensure that all site personnel is listed and properly delegated based on their qualifications and responsibilities and then, a training in Good Documentation Practices will be provided during the next IMV (15-17Jul2024). CRA to complete SSDDL review on each monitoring visit and document this in the MVR. </t>
  </si>
  <si>
    <t xml:space="preserve">GCP requirements/ responsibilities and ALCOA+/Good Documentations Practices training provided. </t>
  </si>
  <si>
    <t>During the next subsequent MVs, monitor will check if new member is added in the SSDDL to guarantee that all tasks were adequately included. A detailed training session for all site staff including GCP requirements/ responsibilities and ALCOA+/Good Documentations Practices to be provided and documented.</t>
  </si>
  <si>
    <t>Site Coordinator archived following files into a CD, and the CD were stored in the ISF:  .3px;"Encorafenib Investigator Brochure (IB) [version 13: 13 May 2022]Encorafenib IB Pfizer Format [version 1: 01 May 2023]Binimetinib IB [version 18: 13 May 2022]Binimetinib IB Pfizer Format [version 1: May 2023]Pembrolizumab IB [version 22: 13 May 2022]Pembrolizumab IB [version 23: 26 Oct 2022]Pembrolizumab IB [version 24: 8 Nov 2023]IMPALA IRT User Manual [version 2: 19 May 2022]IMPALA IRT User Manual [version 3: 20 Dec 2022]Local Ethics Committee Approval [dated 09 Feb 2024]</t>
  </si>
  <si>
    <t>Site coordinator to print the files at site and file them in the ISF by 12Jul2024. Site Monitor will confirm the listed documents during the next Monitoring Visit to be performed on July 15th to July 17th, 2024</t>
  </si>
  <si>
    <t>Site Monitor shared missing essential documents with the site and verified at the end of the visit. 26 Missing essential documents archived.</t>
  </si>
  <si>
    <t xml:space="preserve">Before next MV: the list of pending documents to be filled in the ISF will be shared by site monitor. (Andrea Torres) During MV: Site Monitor, will verify if all documents are properly filled in the ISF and this information will be added in the MVR. </t>
  </si>
  <si>
    <t xml:space="preserve">During site visit SCP share a detail ISF concilation, and a training session for all site staff including GCP requirements/ responsibilities, maintenance of ISF and protocol requirements were provided. </t>
  </si>
  <si>
    <t xml:space="preserve">After MV: In the next three MVs, monitor will perform a complete review of ISF on each IMV to guarantee that all documents are properly filed. Also, a detailed training session for all site staff including GCP requirements/ responsibilities, maintenance of ISF and protocol requirements will be performed during the next IMV (15-17Jul2024). To prevent recurrences, the PI or delegate will provide a training to delegated site staff on ISF maintenance twice a year  and will be properly documented in the training log. </t>
  </si>
  <si>
    <t>QE-113005</t>
  </si>
  <si>
    <t>A substantial amount of expired laboratory kits were found on site [Pfizer C4221016 PPD Laboratories Central Laboratory Manual (Version 2.0: 28 Apr 2022)]. 1. 54 expired laboratory kits were found on site stored next to unexpired kits. The expiration date varied from 21 Dec 2023 to 31 Mar 2024.&amp;nbsp;</t>
  </si>
  <si>
    <t xml:space="preserve">During site visit SCP confirms that expired lab kits has been handeled properly. Thare were not expired kits mixed with the current ones. SC confirms that SC and study nurse are properly delegate to point 10 of SSDL. PTM was updated with the new version of SSDL: ID 688.01 currently in QC. </t>
  </si>
  <si>
    <t xml:space="preserve">Site quality staff will perform a second check to verify lab kits expired date, site to define a physical spot to store expired kits and site monitor to verify this location during next MV. </t>
  </si>
  <si>
    <t>Equipment, Facility and Sample/Specimens</t>
  </si>
  <si>
    <t>Inadequate equipment/lab supply mgmt.</t>
  </si>
  <si>
    <t xml:space="preserve">SCP document expired labkits process into the section "LABORATORY/BIOSPECIMEN/SAMPLE MANAGEMENT - SITE MANAGEMENT", as a evidence of site action taken. </t>
  </si>
  <si>
    <t>SCP documented expired labkits handling at site into the Management report section "LABORATORY/BIOSPECIMEN/SAMPLE MANAGEMENT - SITE MANAGEMENT"</t>
  </si>
  <si>
    <t xml:space="preserve">SCP To provide monthly basis a PPD expired kits report to site. </t>
  </si>
  <si>
    <t>QE-113003</t>
  </si>
  <si>
    <t>Principal Investigator (PI) oversight was inadequate [Pfizer Protocol C4221016 (Amendment 5: 09 October 2023); ICH GCP E6 (R2) 4.2.4, 4.5.1 and 4.11.1]. 1. For 12 of 12 Clinical Trial Safety Update Reports (CTSUR) distributed to the site, the CTSURs were not signed/acknowledged by PI.&amp;nbsp; 2. For 128 of 187 Individual Case Safety Reports (ICSR) distributed to the site, the ICSRs were not signed/acknowledged by the PI in a timely manner, the delay in review varied from 33-138 days. There was no record that the PI reviewed the reports when they were distributed via the safety reporting portal, SIRIUS. However, the site staff submitted the ICSRs to the local ethics committee. These submissions were done in batches; however, the delay in submissions varied from 2-4 months between submissions. 3. For 2 of 2 serious adverse events (SAE) reported at the site, the SAEs were not reported to Pfizer within 24 hours of site awareness. a. SAE # PV202300031156: site awareness date was 13 Feb 2023; however, the SAE was not reported until 16 Feb 2023. A protocol deviation was filed on 01 Mar 2023. b. SAE# PV202400045974: site awareness date was 04 Apr 2024; however, the SAE was not reported until 06 Apr 2024. 4. Adverse Events reporting was inconsistent at the site (QE: 113002). 5. The Site Signature Sheet and Delegation of Authority log was not completed and maintained appropriately (QE:113000). 6. Protocol required study assessments were not completed (QE:113001). 7. Review of central laboratory (PPD) critical value was not completed as outlined in the PPD Central Laboratory Manual [version 2: 28 Apr 2022] (QE: 113001). 8. Training records did not show site staff were adequately trained to complete their delegated tasks. (QE: 113007). 9. The informed consent process was inadequate at the site, study participants were not reconsented to the update informed consent form at their next visit (QE:113009).</t>
  </si>
  <si>
    <t xml:space="preserve">SIRIUS system were reviewed and CTSUR were confirmed of acknoleage by the PI.During the visit Site monitor, perform 11391003 SDV and SDR to complete SAE and AE conciliation. SSDL up to date and attached as a evidence. </t>
  </si>
  <si>
    <t>1. PI to update to acknowledge the pending CTSUR by 15Jul20242. PI to ensure all the pending ICSRs distributed have been acknowledged and submitted to the EC by 30Jul2024. Site to provide CRA the EC reporting timelines for Safety documentation.3. No additional correction action required.4. Site will be required to reconcile the AE information between the medical note and eCRF for all subjects and update the CRF/source as required. Previous this the site will receive a training in good documentation practices and AE reporting/documentation by the CRA or SCP.5. SSDDL will be reviewed by Site Monitor and SCP in conjunction with the site prior 15Jul2024, a crossover review between SSDDL and applicable study systems and updating the SSDDL format as required. Also, the Site Monitoring Visit Log will be updated by the site. All the corrections listed in this report will be done by 17Jul20246. No additional correction action. CRA to confirm the PDs were properly submitted in CTMS and reported to EC 7. Site to document in a NTF the rational of the late review and complete ALCOA+ training (to be provided by the CRA on the next MV)8. SSDDL will be reviewed by Site Monitor and SCP in conjunction with the site prior 15Jul2024, a crossover review between SSDDL and trainings/qualifications will be done. For any training gap noted, the CRA/SCP in conjunction with the PI will train the staff, any training will be properly documented.9. No additional action required, the applicable subjects have been re-consented and the Protocol Deviation was reported to EC.</t>
  </si>
  <si>
    <t>Approved - In Effectiveness Check</t>
  </si>
  <si>
    <t>Re-training about safety procedures was provided by the SCP and Site monitor to the PI and full site staff. Also, ALCOA+ principles training was provided.</t>
  </si>
  <si>
    <t>1, 2. SCP/Site monitor will reinforce with the PI and delegate the importance of reviewing and acknowledging safety information (CTSURs, SUSARs/ICSRs) in a timely manner. The PI will be requested to perform a review of SIRUS platform in a monthly basis. To ensure the PI is reviewing the information, It will be required that the system have evidence that he is performing that activity the most of the times.  Site to adhere to EC reporting timelines once confirmed.3. Lack of communication between Sub I and data entry staff was identified as a root cause for delayed reports. 4. A detailed training session for all site staff including AE and SAE reporting, source data requirements (Good Documentation Practices/ALCOA+) and Data entry timelines.  PI to implement a process between the Data Entry staff and Medical staff (source data generator) to ensure both roles are properly communicated. This with the purpose to improve the consistency of the data entered in the CRF and to avoid any delay on data entry (ie.SAEs,).                    5. PI will be re-trained on their responsibilities/obligations reg the supervision of the delegated staff and maintenance of the SSDDL, in additional ALCOA+ principles will be reviewed. Additionally, a complete SSDDL review on each monitoring visit will be done and documented in the MVR.                  6. Detailed training will be performed about the study assessments to be performed according to the current subject status.                  7. Site to document or establish a process for the review of the safety/critical alerts including the timeframe for alert review, assessment, and timely documentation                                     8. PI will be re-trained on their responsibilities/obligations reg the supervision of the delegated staff and its training. Reinforcement will be done that no study related activity can be done if the new staff has not completed the applicable training. Additionally, the CRA will perform the review of the SSDDL and training/qualifications documentation on each visit.                  9. The CRA must ensure the site provide response to the implementation email-</t>
  </si>
  <si>
    <t>Site monitor visits has been scheduled monthly since the audit visit and risk indicators and missing data has been reduced.</t>
  </si>
  <si>
    <t>From now on, monitor will follow-up/ schedule monitoring visits with more frequent to assure that PI has been providing an adequate oversight to the study.</t>
  </si>
  <si>
    <t>QE-113006</t>
  </si>
  <si>
    <t>For 3 of 3 participants, source documentation practices were not in accordance with ALCOACCEA (Attributable, legible, contemporaneous, original, accurate, complete, consistent, enduring and available) [Pfizer Protocol C4221016 (Amendment 5: 09 October 2023); ICH E6 (R2) 2.10; 4.9.0]. 1. For 3 of 3 participants, the electrocardiogram (ECG) print-outs did not list any identifying information, i.e., the print-outs did not contain the participant's study identification number, name or date of birth.&amp;nbsp; 2. Participant 11391003,&amp;nbsp; a. The baseline Computer Tomography report from the radiologist listed Target Lesion 3 (T3) disease sub-site as right paracaval (retroperitoneal) adenopathies; however, it was listed as left paracaval (retroperitoneal) adenopathies in the site's worksheet and in the Target Lesions eCRF. The Sub-Investigator stated that this was an error in all site RECIST source worksheets completed for Week 9, Week 18, Week 27, Week 36, Week 45 and Week 54. This error in source worksheets led to a transcription error for the data entered in the Target Lesions eCRFs for Baseline - Week 54. b. Cycle 20 Day 1, PPD laboratory results report was not available in the participant's chart.&amp;nbsp; 3. Participant 11391005 a. For participant 11391005, the participant 111391003’s paper logs for vital signs, Investigational Product (IP) administration, blood sample collection were stored in the chart. b. Cycle 1 Day 1, the results for the ECGs taken at 12:47 and 12:51 were the same.&amp;nbsp; c. Cycle 2 Day 8, Progress note stated that the participant’s Encorafenib was adjusted to 300 milligrams (mg) twice a day (BID); however, the note should state the participant's dose was adjusted to of 300mg once a day (QD) as the protocol stated Encorfenib was to be taken once a day.</t>
  </si>
  <si>
    <t xml:space="preserve">1. ID number and DB was added into the printed ECG, also, was confirmed by the site monitor and SCP that new ECG was purchased by the site and it can be configurated to print DOB and patient ID. 2b. C20, D1, PPD laboratory reports  added to the patient binder.  3a. Paper logs filed into the subject binder as required. 3b. Full retraining regarding ECG procedure was provided to the SubI staff, and training logs retrived and uploaded as evidence. 3c. NTF archived as required. </t>
  </si>
  <si>
    <t>1. Will be added the ID number and DB to the printed ECG. The site will acquire equipment that complies with the printing of an automatic report with the electrocardiogram values, it will begin to be applied once it is authorized by the purchasing department, approximately July 15, 2024.2a. Site to update the current worksheet per subject with good documentation practices and to update the CRF . Additionally site  to modify the main worksheet in order to avoid further transcription errors. 2b. In regard with PPD laboratory reports C20, D1 will be included in the patient binder.  3a. Site to locate paper logs in the correct subject binder. 3b. Reg ECG, according to site staff the ECG measure is the same due to the short timelapse between each ECG, CRA will inquire the sSOM about the recommended timelapse between each ECG and will be implemented. 3c.Reg the IP issue, site to add clarification note regarding Encorafenib dose.</t>
  </si>
  <si>
    <t>QE-113008</t>
  </si>
  <si>
    <t>Access to electronic system accounts was not adequately managed for two of 16 site staff as noted on the Site Signature Sheet and Delegation of Duties Log (SSDDL) [ICH E6 (R2) 4.2.5]. 1. IMPALA (Interactive Response Technology) a. One pharmacist (row 14 of the SSDDL) had a site break blind access but was not delegated break blind task. b. One pharmacist's (row 14 of the SSDDL) Current User status was listed as No on the IMPALA User Access Report; but was active on the SSDDL and delegated tasks for IMPALA. c. The Principal Investigator had not to logged into IMPALA at the time of audit. d. A qualified back up was not delegated break blind status at the time of audit.&amp;nbsp;</t>
  </si>
  <si>
    <t>The Sub-Investigator was assigned as a backup for breaking the blind, instead of the study nurse. The Sub-Investigator's user profile in the SIP was updated to trigger the necessary training accordingly.The Principal Investigator reset their IMPALA account on June 14th. By the time of the visit, their account was no longer blocked.</t>
  </si>
  <si>
    <t xml:space="preserve">1a. As per study nurse was not previously delegated, she will be trained about site break blind access and will be delegated in the SSDDL for this activity.1b. SC will add the site pharmacist to the SIP platform in order to activate her account and trigger Firecrest trainings. 1c. Principal investigator to reset their IMPALA account before 01Jun2024, as per inactivity appears as blocked. 1d. Site pharmacist will be assigned as break blind back up staff and will be trained before next MV. </t>
  </si>
  <si>
    <t>QE-113007</t>
  </si>
  <si>
    <t>For four of 16 site staff Training records did not demonstrate that study staff were adequately trained to complete their delegated duties. [Pfizer Protocol C4221016 Study Training Plan (Version 7: 20 Feb 2024); ICH E6 (R2) 4.2.4]. Evidence of &amp;nbsp;completed study-required training for the delegated duties were missing:&amp;nbsp; 1. C4221016 Study, Protocol-Specific Training (Amendment 3) a. One Study Nurse (row 8 of the SSDDL) 2. C4221016 Study, Protocol-Specific Training (Amendment 4) a. One Sub Investigator (row 8 of the SSDDL) b. One Study Nurse (row 7 of the SSDDL) 3. STARBOARD Study Protocol Overview, 13 October 2020 a. Two Sub Investigators (rows 8 and 21 of the SSDDL) b. One Study Nurse (row 7 of the SSDDL) 4. Safety Site Training Standalone Module V1 (April 2024) a. Three Sub Investigators (rows 8, 13 and 21 of the SSDDL) b. One Study Nurse (row 7 of the SSDDL)</t>
  </si>
  <si>
    <t xml:space="preserve">Protocol amendment 3 and 4, Safety Site Training Standalone Module V1   training were properly completed in firecrest by all site staff. SSDL up to date. </t>
  </si>
  <si>
    <t>SSDDL will be reviewed by Site Monitor and SCP in conjunction with the site prior 15Jul2024, a crossover review between SSDDL and trainings/qualifications will be done. For any training gap noted, the CRA/SCP in conjunction with the PI will train the staff, any training will be properly documented.</t>
  </si>
  <si>
    <t>Inadequate training material</t>
  </si>
  <si>
    <t>CT33 - Study-Specific Training</t>
  </si>
  <si>
    <t>AIA-004233</t>
  </si>
  <si>
    <t>QE-121876</t>
  </si>
  <si>
    <t>von Wasielewski, Imke</t>
  </si>
  <si>
    <t>GERMANY</t>
  </si>
  <si>
    <t>C4221016_1220</t>
  </si>
  <si>
    <t>For 4 of 4 participants reviewed, source documents (SD) were not in accordance with the ALCOACCEA criteria (Accurate, Legible, Contemporaneous, Original, Attributable, Complete, Consistent, Enduring, &amp;amp; Available) [(ICH E6 (R2) 2.10, 4.9.0); Pfizer Protocol C4221016 (Amendment # 5: 09 Oct 2023)]. 1. For 4 of 4 participants reviewed, there was insufficient evidence recorded within the participant medical file that protocol requirements were followed consistently by the participant at all visits post Cycle 1 Day 1 visit, when the participant had returned on-site at the next scheduled study visit: 1.1 That the participant had avoided the commencement of a new strenuous exercise regimen. 1.2 That the participant did not crush, break or chew the IP when the participant had self-administered the Investigational product (IP) at home. 2. For 4 of 4 participants reviewed, the confirmation report to indicate that the tumor scans were submitted to Calyx Imaging in a timely manner, and the associated Calyx Imaging Acknowledgment of Receipt were not filed in the participant medical file. Note: The Study Coordinator reported that they were available in MS Outlook and will be printed later. 3. The following source data were incomplete within individual participant medical files for 1 of 4 participants reviewed: 3.1 Participant 12201010: Cycle 1 Day 1 Visit (19 Dec 2023): The randomization IMPALA report was not filed.</t>
  </si>
  <si>
    <t xml:space="preserve">Retraining of all relevant site staff members was performed during the recent Monitoring visit and training was documented in the training log and the Monitoring visit report </t>
  </si>
  <si>
    <t>Monitor to retrain the site on the ALCOACCEA principles and notably that all relevant source document should be printed or Note to File available on location of electronic file. Retraining to be documented in the Monitoring report report</t>
  </si>
  <si>
    <t>Kai Bareesel</t>
  </si>
  <si>
    <t>Bareesel, Kai</t>
  </si>
  <si>
    <t>Source documents were updated and  SOP/Filenote to cover missing procedures (process descriptions) in medical records were created</t>
  </si>
  <si>
    <t>Source to be updated and documents to be filed as per finding</t>
  </si>
  <si>
    <t>QE-121875</t>
  </si>
  <si>
    <t>For 4 of 4 participants reviewed, the Principal Investigator (PI)/ Sub Investigator (SI) did not adhere to the protocol [Pfizer Protocol C4221016 (Amendment # 5: 09 Oct 2023); (ICH E6 (R2) 4.5.1, 4.5.2)]. 1. &amp;nbsp; &amp;nbsp;Cycles 1 to 7 and End of Treatment Visits (Blood for T-cell receptor (TCR) sequencing (6mL/timepoint) – all study visit timepoints): The biomarker blood sample, Molecular Biology of Disease - &amp;nbsp;TCR Phase 3 (Ph3) (MBIO TCR 3), was collected from all participants after 01 Sep 2023; however, this was not required to be collected per the Protocol Administrative Change Letter (PACL) dated 23 Aug 2023. Note: The Study Coordinator (SC) reported that she was unaware of this requirement, even though this requirement was implemented within Protocol Amendment 5 dated 09 Oct 2023 (Principal Investigator (PI) protocol signature was 29 Jan 2024) and the site Study Monitor was notified by Clinical Operations Leader, Parexel International on 31 Aug 2023. In addition, the collection of an additional non-required blood sample was not reported to the Central Ethics Committee. 2. &amp;nbsp; &amp;nbsp;For 1 of 4 participants reviewed, Participant 12201005, the participant had taken an additional 6 tablets of the investigational product (IP) medication of Encorafenib per IP accountability performed at Cycle 7 Day 1 (14 Feb 2024); however, this overdose was not reported to the Sponsor within 24 hours of awareness per protocol Section 8.4. Treatment of Overdose. 3. &amp;nbsp; &amp;nbsp;For 3 of 4 participants reviewed, the times recorded in the participant medical file indicated that the investigational product (IP) medication Binimetinib/placebo was not administered 12 hours (plus or minus 2 hours) apart; i.e., a total of maximum 14 hours apart between &amp;nbsp;the prior evening dose time for at-home self-administration and the following day morning time at the on-site visit. This was detected at the following visits: 3.1 – Participant 12201004 (Cycle 2 Day 1: 02 Nov 2023): The time when the IP was self-administered at home was recorded as 01 Nov 2023 was 20:00 (8:00 p.m.); however, the time of IP administration at the on-site visit was recorded as 10:51 a.m. 3.2 – Participant 12201004 (Cycle 3 Day 1: 22 Nov 2023): The time when the IP was self-administered at home on 21 Nov 2023 was recorded as 19:30 (7:30 p.m.); however, the time of IP administration at the on-site visit was recorded as 11:15 a.m. 3.3 – Participant 12201004 (Cycle 9 Day 1: 28 Mar 2024): The time when the IP was self-administered at home on 27 Mar 2024 was recorded as 21:05 (9:05 p.m.); however, the time of IP administration at the on-site visit was recorded as 11:36 a.m. 3.4 - Participant 12201005 (Cycle 2 Day 1: 02 Nov 2023): The time when the IP was self-administered at home on 01 Nov 2023 was recorded as 7:00 p.m.; however, the time of IP administration at the on-site visit was recorded as 09:47 a.m. 3.5 - Participant 12201005 (Cycle 3 Day 1: 23 Nov 2023): The time when the IP was self-administered at home on 22 Nov 2023 was recorded as 7:00 p.m.; however, the time of IP administration at the on-site visit was recorded as 09:05 a.m. 3.6 - Participant 12201005 (Cycle 4 Day 1: 12 Dec 2023): The time when the IP was self-administered at home on 11 Dec 2023 was recorded as 7:00 p.m.; however, the time of IP administration at the on-site visit was recorded as 09:50 a.m. 3.7 - Participant 12201005 (Cycle 5 Day 1: 03 Jan 2024): The time when the IP was self-administered at home on 02 Jan 2024 was recorded as 7:00 p.m.; however, the time of IP administration at the on-site visit was recorded as 09:53 a.m. 3.8 - Participant 12201007 (Cycle 2 Day 1: 14 Nov 2023): The time when the IP was self-administered at home on 13 Nov 2023 was recorded as 7:00 p.m.; however, the time of IP administration at the on-site visit was recorded as 11:00 a.m. 3.9 - Participant 12201007 (Cycle 3 Day 1: 06 Dec 2023): The time when the IP was self-administered at home on 05 Dec 2023 was recorded as 7:00 p.m.; however, the time of IP administration at the on-site visit was recorded as 10:39 a.m. 3.10 - Participant 12201007 (Cycle 4 Day 1: 28 Dec 2023): The time when the IP was self-administered at home on 27 Dec 2023 was recorded as 7:00 p.m.; however, the time of IP administration at the on-site visit was recorded as 11:47 a.m.</t>
  </si>
  <si>
    <t xml:space="preserve">Issues were discussed with the PI on the 26-JUL-2024. A contact report was written and filed in PTMF (Pfizer Trial Master File) (#608.02). </t>
  </si>
  <si>
    <t>Discussion of Protocol adherence and requirements  with the Principal investigator</t>
  </si>
  <si>
    <t xml:space="preserve">(a) PDs were reported (PD Log attached)(b) Samples collected in error have been destroyed(c) Under EU CTR case does not qualify to be reported (Decision attached) </t>
  </si>
  <si>
    <t>(1)(a) Monitor to report a PD (Protocol Deviation) (one per site).(b) Samples collected in error will be destroyed.(c) The study was transitioned to EU CTR. Under EU CTR Framework, the finding does not classify as a reportable event (urgent safety measure/serious breach/unexpected event) therefore it won’t be reported. The e-mail documenting this decision was filed in PTMF (#751.01 correspondence study level).</t>
  </si>
  <si>
    <t>(2a) PDs for potential overdosing recorded in the PD Log(2b) Potential overdosing was reported in eCRF (Medical Error Page)</t>
  </si>
  <si>
    <t>(2) (a) Monitor to report a PD for overdose not reported on time.(b) Site to document the quantity of the excess dose as well as the duration of the overdose in eCRF.</t>
  </si>
  <si>
    <t>Monitor has created PDs</t>
  </si>
  <si>
    <t>(3) Monitor to report Protocol Deviation</t>
  </si>
  <si>
    <t>Oversight responsibilities were discussed with the PI on the 26-JUL-2024. A contact report was written and filed in PTMF (#608.02).</t>
  </si>
  <si>
    <t>Discussion of Oversight responsibilities  and Protocol requirements with the PI</t>
  </si>
  <si>
    <t>Sites in Germany were reminded per e-mail by monitor (13Jun2024) to remove TCR tubes from lab kits and to not collect these samples: e-mail to be filed in PTMF</t>
  </si>
  <si>
    <t>(1a) All sites in Germany have to be reminded to remove TCR tubes from lab kits and  not to collect these samples</t>
  </si>
  <si>
    <t>sStudy Operations Manager informed all study team members and Site care partners globally on the 5-JUL-2024 and sample status is tracked since then regularly</t>
  </si>
  <si>
    <t>(1b) Monitors to inform sites in other countries participating in this trial to remove the TCR tubes from the lab kits and not to collect this sample anymore.</t>
  </si>
  <si>
    <t>Monitor retrained the overdose reporting requirement during the onsite monitoring visit on 21-AUG-2024</t>
  </si>
  <si>
    <t>(2a) Monitor to retrain the site about the requirement for Overdose reporting and especially that overdose should be reported, even if it cannot be confirmed with the information from patient. Training to be documented in monitoring visit report and on the site training log.</t>
  </si>
  <si>
    <t>Site staff have added a comment on % compliance for each visit and each patient.CRA made a check for a subset of patients (-1004, -1007, 1010; all visits where oral medication was handed out/returned) and staff had entered a compliance calculation</t>
  </si>
  <si>
    <t>(2b) Monitor to perform a thorough review of the IPAL and to document in the monitoring visit.</t>
  </si>
  <si>
    <t xml:space="preserve">Ongoing subjects were instructed to take oral medication (including Binimetinib) on the day of their site visit at home to maintain the 12h distance. Monitor verfied that instructions were recorded in medical files (see monitoring visit report attached, page1)  </t>
  </si>
  <si>
    <t xml:space="preserve">(3a) Since patients are all past cycle 4, site to instruct all patients that they can take their tablet of Binimetinib at home even on the day of the visit. Site to document the source that patient was informed. </t>
  </si>
  <si>
    <t>.3333px; background-color: rgb(255, 255, 255);"Monitor involved the Firecrest helpdesk  to reactivate the Firecrest account of the PI.  Protocol Amendment 5 training is documented in FIRECREST.</t>
  </si>
  <si>
    <t xml:space="preserve">(3b) Monitor to help PI to reactivate his Firecrest account so that PI’s training can be performed in system. </t>
  </si>
  <si>
    <t>QE-121878</t>
  </si>
  <si>
    <t>The informed consent process and documentation were inadequate for 2 of 4 participants reviewed. [ICH E6 (R2); 4.8.1, 4.8.6]. For 2 of 4 participants reviewed, the following was detected within the individual participant medical file, and there was no evidence that the issues were noted or addressed by the site staff 1. &amp;nbsp; &amp;nbsp;Participant 12201002: Informed Consent Document (ICD) version 5/9/0 dated 28 Jul 2022: The participant had incorrectly completed 2 of 3 checkboxes for the section, ‘Incidental findings of tumor scans’ when only 1 of 3 checkboxes should have been completed. 2. &amp;nbsp; &amp;nbsp;Participant 12201007: ICD version 7.1/12/0 dated 02 Nov 2023: The participant had incorrectly completed his own surname where the name of the General Practitioner (GP) should have been completed.</t>
  </si>
  <si>
    <t>Retraining performed and documented in the monitoring visit report</t>
  </si>
  <si>
    <t>Monitor to retrain site on correct ICF completion and on the need for a review by the investigator for completeness and correctness. Monitor to document the retraining also in the Monitoring report</t>
  </si>
  <si>
    <t>ICD tracking log has been updated during monitoring visit 21-AUG-2024 and documented in the corresponding monitoring report (page 1; comment field/ INFORMED CONSENT</t>
  </si>
  <si>
    <t>Informed Consent Tracking Log (Issue Type) to be corrected.</t>
  </si>
  <si>
    <t>QE-121877</t>
  </si>
  <si>
    <t>Monitoring activities were inadequate as issues related to protocol compliance, deficiencies in the source documents, the informed consent process, incomplete adverse event reporting were not detected and followed up in a timely manner. [Pfizer Study Monitoring Plan C4221016 (Version 7.0: 29 Jan 2024); Pfizer Protocol C4221016 (Amendment # 5: 09 Oct 2023); ICH GCP E6 (R2) 5.18.3, 5.18.4e]. The following examples, described in detail in other observations of the report were detected: 1. &amp;nbsp; &amp;nbsp;For 4 of 4 participants reviewed, the Principal Investigator (PI)/ Sub Investigator (SI) did not adhere to the protocol (Finding QE121875). 2. &amp;nbsp; &amp;nbsp;The informed consent process and documentation were inadequate for 2 of 4 participants reviewed (Finding QE121878). 3. &amp;nbsp; &amp;nbsp;For 4 of 4 participants reviewed (Participants 12201004, 12201005, 12201007 and 12201010), source documents (SD) were not in accordance with the ALCOACCEA criteria (Finding QE121876). Note: Participant 12201004 was not part of the SDR sample for monitoring; however, as an SAE was reported, this was monitored by the Study Monitor. Participants 12201005, 12201007 and 12201010 underwent 100 percent SDR; however, since Participant 12201007 reported an SAE this was monitored by the Study Monitor. 4. &amp;nbsp; &amp;nbsp;For 4 of 4 participants reviewed, discrepancies between the electronic Case Report Form (eCRF) entries and the source documents were noted (Finding QE121879). Note: only Participant 12201001 had 100% SDV and SDR monitoring review and the 4 of 4 participants were not required to be have undergone 100% SDV, only 100% SDR. 5. &amp;nbsp; &amp;nbsp;For 3 of 4 participants reviewed, safety reporting was incomplete or inconsistent as adverse events (AEs) were not appropriately recorded in the source documents or reported in the electronic Case Report Form (eCRF) (Finding QE121884).</t>
  </si>
  <si>
    <t>An additional Monitor was assigned to the study site  to support the Primary monitor during site visits. Monitoring visits (2 days) are scheduled monthly until to the end of the year.</t>
  </si>
  <si>
    <t xml:space="preserve">Additional Site Monitoring visits to be scheduled </t>
  </si>
  <si>
    <t>Assignment of a new additional Study Monitor was implemented to the study sites allowing a reduction of the overall workload for the Primary Monitor at site.</t>
  </si>
  <si>
    <t>Assignment of a new additional Study Monitor to the study sites allowing a reduction of the overall workload for the Primary Monitor at site.</t>
  </si>
  <si>
    <t>On 29-JUL-2024 the Site Care Partner Dieter Braitinger retrained all German Site Monitors during the Monitor meeting about the importance to complete all tasks described in the Study Monitoring Plan, to escalate when the criteria cannot be met and request support when required activities cannot be completed.</t>
  </si>
  <si>
    <t>Retraining for all German Site Monitors during the Monitor meeting about the importance to complete all tasks described in the Study Monitoring Plan, to escalate when the criteria cannot be met and request support when required activities cannot be completed.</t>
  </si>
  <si>
    <t>On 08-AUG-2024 the SOM (Study Operation Manager) retrained all Study Monitors on this project about the importance of ensuring adequate time is scheduled to complete all tasks described in the Study Monitoring Plan and to escalate when the criteria cannot be met or to request support if required monitoring activities cannot be completed.</t>
  </si>
  <si>
    <t>Retraining of all Study Monitors on this project about the importance of ensuring adequate time is scheduled to complete all tasks described in the Study Monitoring Plan and to escalate when the criteria cannot be met or to request support if required monitoring activities cannot be completed.</t>
  </si>
  <si>
    <t xml:space="preserve">Regular monitoring takes place. Last Monitoring visit occured on the 18-SEP-2024 with two Monitors. Next MV scheduled for the 18-OCT-2024 (2 Monitors and the Site Care Partner will attend the visit) </t>
  </si>
  <si>
    <t>Increase monitoring frequency to 2-4 weekly until the number of monitoring days to meet current total demand = 1 (currently 4).</t>
  </si>
  <si>
    <t xml:space="preserve">.3333px; background-color: rgb(255, 255, 255);"SDV/SDR sampling be increasing after a second Monitor joint the site and the number of Monitor Days to Meet Current Total Demand has been reduced to 1,35. </t>
  </si>
  <si>
    <t>Increase of SDV/SDR sampling.</t>
  </si>
  <si>
    <t>QE-121880</t>
  </si>
  <si>
    <t>For 4 of 4 participants reviewed, drug accountability and temperature monitoring records of the investigational product (IP) were inadequate. [Pfizer C4221016 Investigational Product Manual Version 4.0 (effective 25 Apr 2023)]. 1. &amp;nbsp; &amp;nbsp;For 4 of 4 participants reviewed, the Chain of Custody documentation was not filed in the Pharmacy Site File when the prepared IP Pembrolizumab infusion bag had left the pharmacy location and transported to the blinded clinical area for infusion to the participants; i.e., the full name, signature and date of the pharmacy member on a document when the IP was checked out of the pharmacy and provided to the blinded staff member; together with the full name, signature and date of the person receiving and taking ownership of the IP. Note: The Lead Pharmacist reported during Day 2 of 2 of the audit that a Standard Operating Procedure (SOP) was in draft stage for the Chain of Custody documentation process. 2. &amp;nbsp; &amp;nbsp;For 8 of 46 shipment records, the shipment Proof of Receipt was not filed. This was detected for the following shipments: 1824093, 1823469, 1817138, 1816317, 1809185, 1810222, 1799920, and 1813287. 3. &amp;nbsp; &amp;nbsp;For 6 of 46 shipment records, the shipment’s TempTale temperature record was not filed. This was detected for the following shipments: 1824093, 1823469, 1817138, 1816317, 1799920, 1813287. 4. &amp;nbsp; &amp;nbsp;For 1 of 46 shipment records, the shipment IMPALA was not filed. This was detected for the following shipment: 1821752.</t>
  </si>
  <si>
    <t>Filing of missing shipment documentation</t>
  </si>
  <si>
    <t>Shipment records and proof of receipt etc. to be filed in Pharmacy Site File</t>
  </si>
  <si>
    <t>Site SOP about Chain of custody documentation processhas been finalized by pharmacist and reviewed by Site Care Partner</t>
  </si>
  <si>
    <t>Site SOP about Chain of custody documentation process to be finalized by pharmacist and reviewed by monitor/SCP.</t>
  </si>
  <si>
    <t>QE-121884</t>
  </si>
  <si>
    <t>For 2 of 4 participants reviewed, safety reporting was incomplete or inconsistent as adverse events (AEs) were not appropriately recorded in the source documents or reported in the electronic Case Report Form (eCRF). [Pfizer Protocol C4221016 (Amendment # 5: 09 Oct 2023); ICH E6 (R2) 4.11.2]. 1. Participant 12201004: 1.1 Adverse Events: The adverse event Fever and Vomiting with start date 05 Dec 2023 was recorded in the participant medical file; however, this was not reported in the eCRF. 1.2 Adverse Events: The adverse event Hyperthyreosis with start date 18 Oct 2023 was recorded in the participant medical file; however, this was not reported in the eCRF. 2. Participant 12201010: 2.1 Adverse Events: The adverse event Upper eyelid papilloma was recorded within the ophthalmology assessment report at Screening Visit (27 Nov 2023) in the participant medical file; however, this was not reported in the eCRF. 2.2 Adverse Events: The adverse event Gynecomastia was recorded in the participant medical file source records at Cycle 3 Day 1 (06 Feb 2024); however, this AE was not reported in the eCRF. 2.3 Adverse Events: The adverse event Vomiting Intermittent was recorded with a start date of 17 Jan 2024 in the participant medical file; however, the start date was reported as 18 Jan 2024 in the eCRF. &amp;nbsp;</t>
  </si>
  <si>
    <t>Missing AEs were entered into the eCRF</t>
  </si>
  <si>
    <t>Enter the missing AEs/medical conditions in eCRF or make the appropriate correction</t>
  </si>
  <si>
    <t>Data entry requirements were trained during the onsite-visit 21-AUG-2024 and the training is documented on page 2 (DATA AND SOURCE DOCUMENTS -COMMENT FIELD)</t>
  </si>
  <si>
    <t>Monitor to retrain the site on the data entry requirement.</t>
  </si>
  <si>
    <t>QE-121879</t>
  </si>
  <si>
    <t>For 4 of 4 participants reviewed, discrepancies between the electronic Case Report Form (eCRF) entries and the source documents (SD) were noted [(ICH E6 (R2) 4.9.1, 4.9.2); (eCRF Completion Requirements C4221016 (Version 3.0 dated 23 Aug 2022)]. 1. &amp;nbsp; &amp;nbsp;For 4 of 4 participants reviewed (Screening Visit): The protocol version recorded in the participant medical file was recorded as Protocol Amendment 4; however, it was reported as Protocol Amendment 3 in the eCRF. 2. &amp;nbsp; &amp;nbsp;For 2 of 4 participants reviewed, the electrocardiogram (ECG) had recorded an overall evaluation of Abnormal ECG with or without an assessment of clinical significance as Abnormal Clinically Significant (CS) or Not Clinically Significant (NCS); however, this was always reported as Normal in the eCRF. The following instances were detected: 2.1 Participant 12201005: Screening Visit (13 Sep 2023); Cycle 1 Day 1 Visit (11 Oct 2023); Cycle 2 Day 1 Visit (02 Nov 2023); Cycle 5 Day 1 (03 Jan 2024); Cycle 9 Day 1 (27 Mar 2024). 2.2 Participant 12201010: Screening Visit (27 Nov 2023); Cycle 5 Day 1 (19 Mar 2024). The following discrepancies were detected within individual participant medical files for 3 of 4 participants reviewed: 3. Participant 12201004: 3.1 Screening Visit (13 Sep 2023): The start date for the medical condition Post menopausal was recorded as 21 Sep 2023 in the participant medical file; however, it was reported as 20 Sep 2023 in the eCRF. 3.2 Screening Visit (13 Sep 2023): The start date for the medical condition Reflux Diseases (Heartburn) was recorded as 05 Sep 1983 in the participant medical file; however, it was reported as 05 Sep 1984 in the eCRF. 3.3 Screening Visit (13 Sep 2023): The TNM stage initial diagnosis was recorded as Stage III in the participant medical file; however, it was reported as Stage IIIC in the eCRF. 3.4 Screening Visit (13 Sep 2023): The prior cancer surgery Excision Lymph Nodes (Glandula Submandibularis) with start date 20 Jul 2023 was reported in the eCRF; however, this was not recorded in the SD. 3.5 Screening Visit (13 Sep 2023): The prior cancer surgery Excision Lymph Node (Right Axilla) with start date 13 Jul 2023 was reported in the eCRF; however, this was not recorded in the SD. 3.6 Concomitant Medications: The concomitant medication Paracetamol with start date 05 Dec 2023 was recorded in the participant medical file; however, this was not reported in the eCRF. 4. Participant 12201005: 4.1 Screening Visit (13 Sep 2023): The TNM stage initial diagnosis was recorded as Stage IIIC in the participant medical file; however, it was reported as Stage IIC in the eCRF. 4.2 Screening Visit (13 Sep 2023): The prior cancer surgery Excision Lymph Node Retroauricular Right with start date 07 Aug 2023 was reported in the eCRF; however, this was not recorded in the SD. 4.3 Cycle 10 Day 1 (16 Apr 2024): The stop time for the investigational product (IP) Pembrolizumab infusion was recorded as 12:55 in the participant medical file; however, it was reported as 12:51 in the eCRF. 5 Participant 12201007: 5.1 Cycle 1 Day 8 Visit (01 Nov 2023): The laboratory results for the thyroid function parameters, thyroid stimulating hormone (TSH): 1.29 mU/L, Free tri-iodothyronine (FT3): 4.22 pmol/L and Free thyroxine (FT4): 11.9 pmol/L, were recorded in the in the participant medical file; however, these were not reported in the eCRF.</t>
  </si>
  <si>
    <t>Correction of eCRF data entries were performed</t>
  </si>
  <si>
    <t>Correction of eCRF data entries</t>
  </si>
  <si>
    <t>Training of eCRF Completion requirements occured on the 21-AUG-2024 during a Monitoring onsite visit and was appropriately documented in the monitoring visit report (Page 2, Commentf ield / SOURCE AND DATA)</t>
  </si>
  <si>
    <t>Retraining of eCRF completion requirements</t>
  </si>
  <si>
    <t>Monitoring was extended and a second Monitor (T-E) was assigned to the site. Both monitors performed a site visit (attached is the Monitoring visit report, dated 18-SEP-2024). Next monitoring visit is scheduled for the 15-OCT-2024 and 16-OCT-2024 will also performed by two Monitors and the Site Care Partner in addition.</t>
  </si>
  <si>
    <t>Increase SMV frequency to reduce SDV/SDR backlog</t>
  </si>
  <si>
    <t>Mandalà, Mario</t>
  </si>
  <si>
    <t>ITALY</t>
  </si>
  <si>
    <t>C4221016_1187</t>
  </si>
  <si>
    <t>The study team delegated activities documentation was incomplete [ICH E6 (R2) 4.1.5, and Pfizer 
Protocol C4221016 Amendment 3, 08 Jun 2022)]
The study task ophthalmic examination requested by the study protocol was not properly 
delegated by the Principal Investigator (PI) in the Signature Sheet and Delegation of Duties 
Log (SSDDL). As per study protocol, a full ophthalmic examination will be performed by a 
qualified ophthalmologist or optometrist as identified by the investigator at screening visit. 
A study specific template named Ophthalmic Exam Worksheet was provided by the Sponsor 
to document the ophthalmic examinations to be conducted at Screening visit, and during the 
study duration when clinically needed. Ophthalmic Exam Worksheets were completed, signed 
and dated for two of the three participants reviewed: participants 11871005 and 11871007.
Auditor’s note: The PI explained that he discussed several times this point with Parexel, and he 
received a written response confirming to not include the qualified ophthalmologist in the SSDDL. He 
confirmed his disagreement with this response.</t>
  </si>
  <si>
    <t>Obvious Cause: Inadequate information for determination
As per the Protocol Specific Site Requirement (PSSR) Form to be completed at the time of the Pre-Trial Assessment visit, the ophthalmologist performing the required ophthalmology exam must be a Doctor of Medicine (MD) or Doctor of Osteopathic (DO). 
The PSSR form completed by the Clinical Research Associate (CRA) at the time of the Pre-Trial Assessment visit done on 16-Apr-2021 and filed in the Trial Master File (PTMF) indicates that the ophthalmologist performing the exams required by the protocol is MD and works in the Ophthalmologist Department that is at site 1187’s Hospital. As such, no other documentation to justify qualification was asked. 
Moreover, the study team has provided guidance in the Frequently Asked Question (FAQ) log that no study specific training and delegation on Signature Sheet and Delegation of Duties Log (SSDDL) is required for the dedicated ophthalmologist or optometrist but the site needs to ensure that the information required to be collected is made available to the ophthalmologist so he/she can provide the necessary data. 
PI confirmed to the CRA during Monitoring Visit on 09-Jan-2023 with documentation in the visit report that the ophthalmologist at the site Ophthalmologist Department have been trained on the eye procedures required by the protocol . 
Corrective actions:
1.CRA will collect a declaration where Principal Investigator (PI) stated that the ophthalmologist has been previously trained by PI before conducting protocol activities for his task. Signed Declaration will be filed in Investigator Site File (ISF) and this action will be documented in monitoring visit report (MVR) by the CRA.
2.CRA will confirm with the Principal Investigator (PI) if he wants to add ophthalmologist or optometrist  on SSDDL. If PI would like to add then the CRA will collect the updated Site Signature and Delegation Log updated with ophthalmologist name at next monitoring visit. It will be documented by the CRA in monitoring visit report which be filed in Trial Master File (PTMF). Also updated SSDDL will be filed in PTMF for the reference. 
3.CRA will collect Good Clinical Practice (GCP) certificate and Curriculum Vitae (CV) for the ophthalmologist. These documents will be filed in ISF and also in PTMF. These actions will be documented in the MVR by the CRA.
4.Email with the instruction about re-confirmation of ophthalmologist status at sites and possibility to add to SSDDL will be sent to all CRAs by global COL.  CRAs will confirm which SSDDL needs to be updated and then raise an issue in Siebel for follow-up on collecting updated documents to be filed in ISF and PTMF.</t>
  </si>
  <si>
    <t>Celine Labourdette</t>
  </si>
  <si>
    <t>Personnel inadequately trained to perform their assigned job function</t>
  </si>
  <si>
    <t>Licia De Propris</t>
  </si>
  <si>
    <t>The instruction provided by the Contract Research Organization (CRO) to the Principal Investigator (PI) regarding to not document the study task ophthalmic examination assigned to a qualified ophthalmologist or optometrist in the Signature Sheet and Delegation of Duties Log (SSDDL) as 
requested by the study protocol, was found inadequate (see observation PR #2220244). [ICH E6 (R2) 5.18.4 and Pfizer Protocol C4221016 Amendment 3, 08 Jun 2022)]</t>
  </si>
  <si>
    <t>Obvious Cause: Inadequate information for determination
As per the Protocol Specific Site Requirement (PSSR) Form to be completed at the time of the Pre-Trial Assessment visit, the ophthalmologist performing the required ophthalmology exam must be a Doctor of Medicine (MD) or Doctor of Osteopathic (DO). 
The PSSR form completed by the Clinical Research Associate (CRA) at the time of the Pre-Trial Assessment visit done on 16-Apr-2021 and filed in the Trial Master File (PTMF) indicates that the ophthalmologist performing the exams required by the protocol is MD and works in the Ophthalmologist Department that is at site 1187’s Hospital. As such, no other documentation to justify qualification was asked. 
Moreover, the study team has provided guidance in the Frequently Asked Question (FAQ) log that no study specific training and delegation on Signature Sheet and Delegation of Duties Log (SSDDL) is required for the dedicated ophthalmologist or optometrist but the site needs to ensure that the information required to be collected is made available to the ophthalmologist so he/she can provide the necessary data. 
PI confirmed to the CRA during Monitoring Visit on 09-Jan-2023 with documentation in the visit report that the ophthalmologist at the site Ophthalmologist Department have been trained on the eye procedures required by the protocol.   
Corrective action: 
1.CRA will collect a declaration where Principal Investigator (PI) stated that the ophthalmologist has been previously trained by PI before conducting protocol activities for his task. Signed Declaration will be filed in Investigator Site File (ISF) and this action will be documented in monitoring visit report (MVR) by the CRA.
2.CRA will confirm with the Principal Investigator (PI) if he wants to add ophthalmologist or optometrist  on SSDDL. If PI would like to add then the CRA will collect the updated Site Signature and Delegation Log updated with ophthalmologist name at next monitoring visit. It will be documented by the CRA in monitoring visit report which be filed in Trial Master File (PTMF). Also updated SSDDL will be filed in PTMF for the reference. 
3.CRA will collect Good Clinical Practice (GCP) certificate and Curriculum Vitae (CV) for the ophthalmologist. These documents will be filed in ISF and also in PTMF. These actions will be documented in the MVR by the CRA.
4.Email with the instruction about re-confirmation of ophthalmologist status at sites and possibility to add to SSDDL will be sent to all CRAs by global COL. CRAs will confirm which SSDDL needs to be updated and then raise an issue in Siebel for follow-up on collecting updated documents to be filed in ISF and PTMF.</t>
  </si>
  <si>
    <t>Failure to escalate or resolve issue</t>
  </si>
  <si>
    <t>AIA-001232</t>
  </si>
  <si>
    <t>QE-059283</t>
  </si>
  <si>
    <t>Schadendorf, Dirk</t>
  </si>
  <si>
    <t>C4221016_1021</t>
  </si>
  <si>
    <t>The archive used to store study information for one year after study end was inadequate as follows: [ICH E6 (R2); 4.9.4] The archive was not temperature and humidity controlled. &amp;nbsp;It should be noted that there was an air conditioning (AC) in the room, and it was not clear if the AC device was able to monitor and record the temperature and humidity as per site staff.&amp;nbsp;</t>
  </si>
  <si>
    <t xml:space="preserve">CRA discussed with the site and they will look into this.  </t>
  </si>
  <si>
    <t>During the next MV scheduled for 19Sep23, the CRA will discuss  with site staff whether a technical solution can be implemented, e.g. whether it’s possible to install the requested temperature and humidity control in this room in the foreseeable future. Otherwise, it should be considered to move study information to central archiving facility after study end. Comment on this to be added to the MVR for this visit.</t>
  </si>
  <si>
    <t>Inadequate facility design</t>
  </si>
  <si>
    <t>QE-059282</t>
  </si>
  <si>
    <t>Documents in the Investigator Site File (ISF) were either missing or were incomplete as follows: [ICH E6 (R2); 8.]&amp;nbsp; 1.&amp;nbsp; Financial Disclosure (FD) Form for one Sub Investigator (LZ). Note that as per FD Summary report the FD for this Sub Investigator was available, but not filed in the ISF. 2.&amp;nbsp; Around 21 study drug storage temperature monitoring logs were filed, which however, did not include the study and site number to allow proper tracking.&amp;nbsp; 3.&amp;nbsp; The header of the Parexel Site Project Specific Training long was missing on the training log for the PI signed on 08 Aug 2022. 4.&amp;nbsp; The updated study delegation log was not filed in the Pharmacy Binder with the 3 new pharmacists listed.&amp;nbsp; &amp;nbsp; &amp;nbsp;</t>
  </si>
  <si>
    <t>FDF template provided to the SI for completion during the visit of 19Sep23</t>
  </si>
  <si>
    <t xml:space="preserve">CRA to collect wet ink FDF during the MV scheduled for 19Sep23. If the wet ink FDF is not available the CRA is to provide the template to this Sub-I, with addition of a remark that this FDF shall serve as a wet ink to replace the lost FDF, and an addition to the FDF Summary report to confirm that completion has been done prior to study start.  </t>
  </si>
  <si>
    <t>Updates made during the MV on 19Sep23</t>
  </si>
  <si>
    <t>CRA to request SC to add study and site number to these logs for proper tracking during the next MV scheduled for 19Sep23.  CRA to review the updates and comment on the corrections in the MVR of this visit.</t>
  </si>
  <si>
    <t>Corrections made and training logs completed.</t>
  </si>
  <si>
    <t>CRA will perform review of this document upon her next site visit on 19Sep23 and make annotations to capture the header information. Site to be retained on the process of quality control and follow up. Training to be added to the training logs during the visit.</t>
  </si>
  <si>
    <t>SSDL was updated and filed.</t>
  </si>
  <si>
    <t>Upon her next visit of the Pharmacy (19Sep23), CRA will provide a copy of the SSDDL with the latest updates of Pharmacy staff to the Pharmacist for filing and add a note stating that the original is kept in the ISF.  Comment on the site process and the remediation to be added to the MVR for this visit.</t>
  </si>
  <si>
    <t>QE-059289</t>
  </si>
  <si>
    <t>Monitoring procedures and documentation was inadequate; [ICH E6 (R2); 5.18; Pfizer Protocol C4221016 Amendment # 4: (14 Feb 2023); Pfizer C4221015 Monitoring Plan Version 5 (effective: 27 Feb 2023) and “EU Reflection Paper on Expectations for Electronic Source Data” – August 2010 and EMA Guideline on “Computerized Systems and Electronic Data in Clinical Trials” - 09 Mar 2023] 1.&amp;nbsp; There was no documentation that the Study Monitor has spot checked the Electronic Medical Record System (EMRS) to verify that the printouts of the EMRS were in line with the data in the system and/or to check if there was additional relevant medical information. 2.&amp;nbsp; The Informed Consent Document (ICD) Tracking Log did not consistently include the ICDs that were obtained for taking additional Biopsies.&amp;nbsp; Examples:&amp;nbsp; Participant 10211005 signed the ICD for Biopsy dated 28 Jul 2022 on 08 Dec 2022 and Participant 1021106 signed the ICD for Biopsy dated 28 Jul 2022 on 03 Feb 2023. 3.&amp;nbsp; Site staff reported that when start dates of Medical History Data was not available or unknown, the Monitor instructed site staff should enter UNK/UNK/ and add the year when the participant was enrolled into the study, instead of obtaining the true year when medical history occurred. Note that as per Pfizer C4221016 CRF Completion Requirements for Inform (Version 3: 23 Aug 2022), Section 9.9.4 it is not possible to add medical history data without listing a year; the start year was mandatory, hence this advice was given. This item was discussed during the audit exit meeting with the PI and site staff confirmed to investigate the true start year of medical history.&amp;nbsp; &amp;nbsp; &amp;nbsp;</t>
  </si>
  <si>
    <t>CRA did some spot checks on 19Sep23 as the visit was focused on Snapshot for SLI</t>
  </si>
  <si>
    <t>CRA will perform spot checks upon the next visit and document in MVR accordingly.</t>
  </si>
  <si>
    <t>Retraining provided to the site, logs will be collected and corrected accordingly.</t>
  </si>
  <si>
    <t>CRA will check ICD tracking log and arrange that these get updated. In case this finding is caused by the issue described in finding #1, this will get properly documented. Corrections will be documented in the next MVR accordingly.</t>
  </si>
  <si>
    <t>Retraining completed during the MV on 19Sep23. Training logs was updated on site.</t>
  </si>
  <si>
    <t>Auditor had already agreed with PI upon the audit to investigate start date of medical history for those events that are insufficiently documented. CRA will perform a PI retraining for proper collection and documentation of such source items. Retraining will be documented in the training log and MVR accordingly.</t>
  </si>
  <si>
    <t>QE-059288</t>
  </si>
  <si>
    <t>Investigational Product preparation procedures and documentation was inadequate: [ICH E6 (R2); 4.6, 4.9.3&amp;nbsp; and Pfizer C4221016 Protocol (Amendment # 4: 14 Feb 2023)] 1.&amp;nbsp; Investigational Product (IP) Preparation documents did not consistently include a signature of the quality control (QC) person verifying that IP was prepared in accordingly. This was due to the fact, that delegated pharmacists were on sick leave and the Head of the Pharmacy decided to prepare IP herself. Note that site took action, and hired 3 additional pharmacists. However, this fact was not documented in a Note to File and spaces for the QC person to sign were either left blank or “NA” was included. Examples are:&amp;nbsp; Participant 10211007:&amp;nbsp; Pembrolizumab &amp;nbsp;preparation documents for Cycle 1/Day 1 on 06 Apr 2023; for Cycle 3/Day 1 on 19 May 2023 and for Cycle 4/Day 1 on 09 Jun 2023. 2.&amp;nbsp; Investigational Product (IP) shipment receipt forms were not completed adequately. Two questions were included on the form of the receipt acknowledgement section, that were either answered incorrectly with “yes” or not answered even though the Pharmacist confirmed that all IP was received in good condition.&amp;nbsp; a. Were the contents of the shipment damaged or received in an unacceptable condition? If yes, contact the Site Monitor. b. Did any of the temperature monitoring devices alarm during shipment? Examples are:&amp;nbsp; - Shipments received on 11 Mar 2022, 14 Feb 2023, 21 Feb 2023, 12 Apr 2023, 04 May 2023 and on 27 Jun 2023.&amp;nbsp;</t>
  </si>
  <si>
    <t>On 15Sep23, with regards to Audit report AIA-001232, CRA performed a remote retraining of all investigators and study coordinators on the relevant items listed in findings #1, 2, 6, 7, 9. CRA provided SC with respective retraining logs on 19Sep23 and asked her to collect the respective signatures. Findings #4, 5, 8 were addressed remotely as well. These will get followed up on subsequent visit(s) on 11Oct23.</t>
  </si>
  <si>
    <t>CRA will provide a retraining to relevant site staff for proper SAE reporting during the next MV scheduled for 19Sep23.  Training logs to be updated accordingly.CRA will investigate with site staff whether the awareness date is retrievable from the source. If this is the case, the information should be added retrospectively to the SAE report in PSSA. CRA to SDR/SDV these updates and comment on the corrections in the MVR for this visit.</t>
  </si>
  <si>
    <t>QE-059290</t>
  </si>
  <si>
    <t>Training of site staff members was incomplete as follows: [ICH E6 (R2); 2.8, 4.1.1, 4.2.3, 4.2.6] As per Firecrest report dated 24 Jul 2023 there was no training documentation for one Pharmacist (JB) who started working in the study from 21 Dec 2022. Note there was a handwritten study specific training documentation available in the Investigator Site File. &amp;nbsp;</t>
  </si>
  <si>
    <t>CRA will follow up with Pharmacy team to confirm actual training status of this team member to ensure Pharmacist was indeed trained on the required procedures, and document this in a file note. CRA will instruct Pharmacy team to, going forward, perform training in Firecrest as the standard way to document training, instead of handwritten training documentation. Where needed, CRA will assist with Firecrest access for Pharmacist JB and ensure required training is completed in Firecrest retrospectively. Corrective actions will be documented in the MVR of the next MV.</t>
  </si>
  <si>
    <t>QE-059285</t>
  </si>
  <si>
    <t>(Serious) Adverse event (SAE) reporting was incomplete for 1 out of 2 participants with SAEs: [ICH E6 (R2); 4.11.1 and  Pfizer Protocol C4221016 Amendment # 4: (14 Feb 2023)]. Participant 10211001: The awareness date on the SAE report for&amp;nbsp; SAE (hospitalization due to liver punction) reported initially on 07 Dec 2021 was not included.&amp;nbsp;</t>
  </si>
  <si>
    <t>QE-059278</t>
  </si>
  <si>
    <t>Source documents were not fully in accordance with the ALCOACCEA criteria (= Accurate, Legible, Contemporaneous, Original, Attributable, Complete, Consistent, Enduring, &amp;amp; Available when needed) as follows: [ICH E6 (R2); 2.10, 4.9.0 4.9.1, 4.9.3 and  Pfizer Protocol C4221016 Amendment # 4: (14 Feb 2023) ;  &amp;nbsp; “EU Reflection Paper on Expectations for Electronic Source Data” – August 2010 and EMA Guideline on “Computerized Systems and Electronic Data in Clinical Trials” - 09 Mar 2023] &amp;nbsp; 1. For 4 out of 5 participants reviewed (Participants 10211003, 10211004, 10211006 and 10211007), the Informed Consent Document (ICD) procedure documented in the source notes was incomplete as ICDs for additional Biological Sampling or additional Biopsy were not mentioned; only the main ICDs were included in the source records.&amp;nbsp; Examples are: Participant 10211003 signed the ICD for Biological Sampling dated 30 Jun 2021 on 12 Jan 2022. Participant 10211004 signed the ICD for Biological Sampling dated 08 Nov 2021 on 24 Mar 2022. Participant 10211005 signed the ICD for Biological Sampling dated 08 Nov 2021 and the ICD for the additional Biopsy dated 28 Jul 2022 on 08 Dec 2022. Participant 10211006 signed the ICD for Biological Sampling dated 08 Nov 2021 and the ICD for the additional Biopsy dated 28 Jul 2022 on 03 Feb 2023. Participant 10211007 signed the ICD for Biological Sampling dated 08 Nov 2021 on 27 Mar 2023.&amp;nbsp; 2. For 5 out of 5 participants reviewed (Participants 10211001, 10211003, 10211004, 10211006 and 10211007), adverse event documentation was incomplete in the source notes: a. The source records did not clearly indicate if the adverse event (AE) was ongoing. It was explained by the Sub Investigator that if no end date was included (only the start date) the AE is to be seen as ongoing, however, this could not allow proper tracking of the AE. b. The Seriousness Criteria was not documented in the source notes as it was completed in the  electronic Case Report Form ( eCRF) for all participants. Examples are: Participant 10211004: AE Anemia with a start date on 24 Mar 2022. AE Increasing  gamma-glutamyl transferase ( GGT) on 28 Mar 2022. Participant 10211006: AE nausea, headache, and vertigo on 13 Feb 2023. 3. The site has created a worksheet for inclusion and exclusion criteria; however, this document was not used consistently for all participants.&amp;nbsp; Examples are:&amp;nbsp; a. This document was used for Participants 10211004 and 10211006 but not for Participant 10211007.&amp;nbsp; b. In addition, this document did not include any columns with yes no or checkboxes to indicate if the criteria have been met or not met. Instead, there were only two columns - one for the signature date and one for the initials of the investigator.&amp;nbsp; 4. Participant 10211003 could have signed the updated Main ICD dated 09 Feb 2022 on 2 study visits earlier (04 Apr 2022 and 11 Apr 2022), however, the auditor was informed that the Participant had to leave the site on these visits and had no time to sign the ICD; that is why the ICD was only signed on 14 Apr 2022. This fact was not documented in the source notes.&amp;nbsp; 5. The site’s source data worksheets included single page numbers (1, 2, 3 …), but not pages “1 of X” in the footer to allow proper tracking of available sheets per study visit.&amp;nbsp; 6. Participant 10211007:&amp;nbsp; a. There was no start date in the Medical History of Dysmorphophobia Syndrome although in the eCRF the start date UNK/UNK/2023 was included. In addition, as per source the participant did not suffer from any psychiatric pre-existing illness which was contrary to the indication Dysmorphophobia Syndrome. (Please see Finding # 059289). b. There was no start date in the Medical History for Thyroidectomy although in the eCRF the start date UNK/UNK/2023 was included. (Please see Finding #  059289). c. The template section in the source notes for women of childbearing potential&amp;nbsp; (WOCBP) and desire to have children was not filled in for this participant for all study visits conducted (Screening 27 Mar 2023 until Study Visit  Cycle5/Day1 on&amp;nbsp;30 Jun 2023).&amp;nbsp;Note that the participant was at the age of 61 years and a pregnancy test was done at Screening. 7. During the interview it was reported that all source data are in the EMRS Medico, however, ophthalmological examination and results were not included in the EMRS. During the audit exit meeting this was discussed with the site personnel and the reason thereof was not clear.&amp;nbsp;</t>
  </si>
  <si>
    <t>COL trained the CRA's on the ICD tracking during the call on 05 Sept23On 15Sep23, with regards to Audit report AIA-001232, CRA performed a remote retraining of all investigators and study coordinators on the relevant items listed in findings #1, 2, 6, 7, 9. CRA provided SC with respective retraining logs on 19Sep23 and asked her to collect the respective signatures. Findings #4, 5, 8 were addressed remotely as well. These will get followed up on subsequent visit(s) on 11Oct23.</t>
  </si>
  <si>
    <t>COL to retrain the CRA on how to track and implement the different ICD’s on site and country level during the country call scheduled for 05Sep23. Issue 1-4J2KJ5H created in Siebel: During a routine Audit conducted at the site the auditor noted that the Informed consent Document (ICD) procedure documented in the source notes was incomplete. Source only contains notes on signature on Main ICD's and not of the optional and additional ICD's.CRA to retrain the site on the ICD process and Implementation during the next MV scheduled for 19Sep23.   Training to be added in the training logs and site to update the source notes for all patients accordingly. CRA to add the corrections done in the MVR for the visit scheduled for 19Sep23.</t>
  </si>
  <si>
    <t>Issue 1-4J2KJ5M created in Siebel: During a routine Audit conducted at the site the auditor noted that adverse event (AE) documentation for patients 10211004 and 10211006 was incomplete in the source notes.CRA to provide retraining to investigators that, regarding AEs, source always requires an investigator comment regarding seriousness and an end date or, in case this is not available, a comment “ongoing". Training to be added to the training log, site to update the source accordingly and CRA to SDR updates made to the mentioned patients during her next MV scheduled for 19Sep23.  Corrections need to be confirmed in the MVR for this visit.</t>
  </si>
  <si>
    <t>CRA to provide retraining to site staff for: a) consistent use of worksheets for all study participants and b) to update the worksheets with an additional column indicating whether this criterion was checked by an investigator. CRA to review for the correction in worksheet made by site during the next MV scheduled for 19Sep23, review and correction will be documented in the MVR for this visit.</t>
  </si>
  <si>
    <t xml:space="preserve">CRA to provide retraining to site staff to document unforeseen delays in ICD signature in the chart of the subject(s) affected. CRA to review the reason for delay documentation made by site during the next MV scheduled for 19Sep23, review and outcome will be documented in the MVR. </t>
  </si>
  <si>
    <t>CRA requested the site to update the worksheets during the visit of 19Sep23, updates will be followed up during the visit scheduled for 11Oct23.</t>
  </si>
  <si>
    <t>CRA will inform site staff to update the template for worksheets going forward, and to use the updated worksheet for future patients and future visits. CRA re-check the updated worksheet template, especially for page footer during the next MV scheduled for 19Sep23 and confirm correction in the MVR for this visit.</t>
  </si>
  <si>
    <t xml:space="preserve">CRA to provide retraining to relevant staff to collect and document all relevant information, including medical history and childbearing potential, upon screening. Re-training to be added to the training logs and CRA to perform SDR for corrections made during the next MV scheduled for 19Sep23. Review should be documented in the MVR for this visit.  </t>
  </si>
  <si>
    <t>Source documentation was discussed during the visit on 19Sep23 and the CRA will complete the SDL during the next visits scheduled for 11Oct23.</t>
  </si>
  <si>
    <t>CRA will ask site staff to request information on source documentation details for partnering departments in this trial (ophthalmology, radiology) and to provide this information to Auditor. Site and CRA to update source document locator afterwards.</t>
  </si>
  <si>
    <t>QE-059281</t>
  </si>
  <si>
    <t>The Pfizer Trial Master File in PTMF as of 02 Aug 2023 was incomplete:&amp;nbsp; [ICH E6 (R2); 8 and Pfizer SOP CT01-GSOP Version 8.0 Trial Mater Files (effective 03 Oct 2022)]. The following documents were missing: 1.&amp;nbsp; Site Study Specific Training Logs signed/ dated on 30 Nov 2020, 31 Mar 2021 and 06 Jul 2022. 2.&amp;nbsp; Study Specific Training Logs for Pharmacists 3.&amp;nbsp; CHUBB Germany GmbH &amp;nbsp; insurance confirmations dated 01 Dec 2021, 18 Nov 2022 and 07 Dec 2020 (accident insurance). 4.&amp;nbsp; PPD Laboratory Manual Version 2 dated 28 Apr 2022.</t>
  </si>
  <si>
    <t>Documents collected and to be filed 03Oct23.</t>
  </si>
  <si>
    <t>CRA will collect documents requested in 1) and 2) upon her next site visit (19Sep23) and have these uploaded in PTMF. COL will investigate into filing of documents requested in 3) and 4) and have these uploaded into PTMF.</t>
  </si>
  <si>
    <t>QE-059280</t>
  </si>
  <si>
    <t>Investigator Oversight was inadequate by the existing documentation as follows  [ICH E6 (R2); 4.2 and&amp;nbsp; Pfizer Protocol C4221016 Amendment # 4: (14 Feb 2023)]. 1.&amp;nbsp; Three (3) Pharmacists that started working for the study one in Dec 2022 and two in Jul 2023 were not assigned to task # 30  &amp;nbsp;"Interactive Response Technology System" (IVRS) for Pharmacists"&amp;nbsp;  compared to all the other pharmacists, although this task was conducted by them.&amp;nbsp; 2.&amp;nbsp; Additions made to the study delegation log were not consistently signed off by the Principal Investigator.&amp;nbsp; Examples:&amp;nbsp; - Page 11 of the delegation logs, task # 30 "Interactive Response Technology System" (IVRS) for Pharmacists" was added for the Pharmacists. &amp;nbsp; - Pages 7 and 8 of the delegation logs, where task # 31 (packing and shipping dangerous goods) was added for the study nurses.&amp;nbsp; 3.&amp;nbsp; A new Radiologist (CM) was assigned for the study on 01 Jun 1023, however, instead of assigning task # 28 (Radiological Assessment), the person was assigned to task # 27 (Ophthalmological Assessment).</t>
  </si>
  <si>
    <t>CRA discussed this during the MV on 19Sep23, updated SSDL to be reviewed during the next MV on 11Oct23.</t>
  </si>
  <si>
    <t xml:space="preserve">CRA will confirm with Pharmacy team which of the currently assigned team members will actively work with IVRS. Only for these, code 30 should be delegated, once IVRS training and access is complete.  </t>
  </si>
  <si>
    <t>CRA will perform a retraining of PI to always make additions to the delegation log with date and initials during the next MV scheduled for 19Sep23 and update the training logs accordingly.  Updates to be reviewed and documented in the MVR of this visit.</t>
  </si>
  <si>
    <t>CRA will ask PI to make a correction of the delegated task. CRA will perform a retraining of PI to pay attention to the code usage to avoid mis-delegation in the future during the next MV scheduled for 19Sep23 and update the training logs accordingly.  Updates to be reviewed and documented in the MVR of this visit.</t>
  </si>
  <si>
    <t>AIA-004200</t>
  </si>
  <si>
    <t>QE-127885</t>
  </si>
  <si>
    <t>Piccin, Luisa</t>
  </si>
  <si>
    <t>C4221016_1181</t>
  </si>
  <si>
    <t>Documentation related to Investigational Product (IP) &amp;nbsp;inventory details was inadequate and&amp;nbsp; the Study Interactive Response Technology (IRT) system was not kept up to date. &amp;nbsp; [Investigational Product Manual C4221016 Version 5.0, 13 May 2024]. i)  According to the Site Blinded Center Inventory Report dated 21 Jun 2024, the Kit Status for Investigational Product Kits 510-999-675, 400-032-734, 235-682-320 and 938-290-166 was listed as Dispensed on 04 Mar 2024 but the kits had been quarantined because according to the Pharmacy Technician the site staff had mistakenly recorded the visit in Impala for Study Participant 11811010 as an Unscheduled Visit instead of Cycle 4/Day 1. &amp;nbsp;Drug assignment was generated in the IRT system for the correct visit number and alternative kits were dispensed. On 29 Mar 2024, the site monitor opened the issue 1-501EMIB to raise a Data Clarification Form to change the Kit Status to 'Assigned but not used' but the update remained pending at the time of the audit. &amp;nbsp; ii) The IRT system, Impala had not been updated to reflect the Discontinued Date for Study Participant 11811004. The Discontinued Date field in the Impala Blinded Subject Status Summary report dated 2 July 2024 was blank. According to the Screening and Enrolment Log the Study Participant had been discontinued on 26 Jan 2024. &amp;nbsp;</t>
  </si>
  <si>
    <t xml:space="preserve">Pharmacy staff members were trained to properly consult the IWRS support in order to avoid similar circumstances. </t>
  </si>
  <si>
    <t>As per IWRS support, pharmacy site added a note to file regarding the UPV being logged in error that the kits within that visit will not be removed from Impala 2.0.04Mar2024: site staff misclicked the wrong option into IWRS system. More specifically it was recorded by mistake unscheduled visit (instead of C4D1) for Pt 11811010 in Impala. Site immediately noticed the error and put the study drug kits assigned for unscheduled visit in quarantine, it was done another IRT dispensation and correct kits were assigned for C4D1. 03APR2024: issue reporting delay: site staff informed CRA a month after the error occurred. CRA sent a DCR to ask to change the study drug kits assigned for unscheduled visit from quarantine status to “assigned but not used status” (since allocated from Impala but never given to the patient). Although the IWRS support answered that "as these kits cannot be used again removing them from the visit had no value within the IRT as they are already seen by the system as unusable. Please have the site add to their note to file regarding the UPV being logged in error that the kits within that visit will not be removed from Impala 2.0. Once this is done no further action within Impala 2.0 is needed.", the open issue n 1-501EMIB was not closed.05APR2024: it was completed the transition to model 1; new roles were assigned: CRA handovered to SCP and a new CRA.19JUN2024: newly assinged SCP sent a DCR to IMPALA support, in order to close the described issue. 05JUL2024: IWRS support confirmed that "removing kits form visits is only useful for open label studies which C4221016 is not, it is double blind. Due to the blinded nature of the study removing these kits adds no value as they cannot be reused, due to maintaining the blind, which is standard process for any blinded studies. If the site had contacted Impala support on 04-Mar-2024 for SSID 11811010 the visit could have been deleted and the kits placed in an assigned not used status on that date. The pharmacist at the site contacted the site monitor on 04-Mar-2024 not Impala support. Impala support was not contacted by the site monitor until 03-Apr-2024, support could not delete the UPV as the site had already logged Cycle 4 Day 1 and Cycle 5 Day 1 within the Impala system. At this time, the site will need to complete a note to file documenting the discrepancy and the kits will remain in the UPV within Impala 2.0. Please note that any inventory logs, visit logs or the EDC do not have to match Impala 2.0". After assessing site staff filed a note to file as per instruction given, issue was closed.Responsible role: Pharmacy staff, Site Care Partner (SCP), Clinical Research Assistant (CRA).</t>
  </si>
  <si>
    <t>Eva Rossi Mel</t>
  </si>
  <si>
    <t>QE-127867</t>
  </si>
  <si>
    <t>Documentation related to temperature monitoring of study samples was inadequate.&amp;nbsp; [ C4221016 Central&amp;nbsp; Laboratory Manual Version 2.0, 28 April 2022]. Temperature monitoring documentation was missing for blood samples that had been transferred to a backup -80°C freezer between 28-30 August 2023. According to the Study Coordinator this was to allow maintenance to be completed to the main freezer. The temperature monitoring log from the back-up -80°C freezer for the transfer period was requested during the audit and it was concluded that blood samples belonging to the following Study Participants had been transferred and stored in the back-up freezer: 11811002, 11811005, 11811006 and 11811007.&amp;nbsp;</t>
  </si>
  <si>
    <t>site staff provided the required documentation.</t>
  </si>
  <si>
    <t>Site staff were asked to add a note to file to explain the procedure of samples transferring into back up freezers.Responsible role: Delegated site staff, Study Corrdinator (SC)</t>
  </si>
  <si>
    <t>Inadequate sample/specimen collection and management</t>
  </si>
  <si>
    <t>CT29 - Management of BioSpecimens</t>
  </si>
  <si>
    <t>training log was updated according.</t>
  </si>
  <si>
    <t>Site staff were re-trained about the ICH/GCP and protocol requirements.Responsible role: Site Care Partner (SCP).</t>
  </si>
  <si>
    <t>QE-127621</t>
  </si>
  <si>
    <t>Essential Documents in the Investigator Site File (ISF) were incomplete and/or had not been completed properly. [ICH E6 (R2) 4.1.5, 4.9.4]. The following discrepancies were noted in the Site Signature and Delegation of Duties Log (SSDDL): i) On 1 April 2024, the incumbent Principal Investigator (PI) signed and dated a new copy of Section 1 of the SSDDL, however since the initial log was completed an updated version of the SSDDL template had been implemented and the task numbering did not align with the previous version.&amp;nbsp; ii) The 'Date Stopped' field for the outgoing Principal Investigator had not been completed on Section 1 of the original SSDDL. iii) The 'Date Stopped' field for the PIs' previous role of Sub Investigator had not been completed.&amp;nbsp; &amp;nbsp;</t>
  </si>
  <si>
    <t>On 05APR2024, SCP shared with SC the instruction on how to complete the delgation log (as per instruction on page 1 reported into the described form) and shared with site staff the delegation log (INV02-INV04-GSOP-RF09 10.0 Signature Sheet and Delegations of Duties Log16-Sep-2022). Unfortunately, the list of tasks does not match the list of the previous form. On 03JUL2024, Dr Piccin completed both the 'Date Stopped' field for the outgoing Principal Investigator on Section 1 of the original SSDDL (INV02-INV04-GSOP-RF09 6.0 Signature Sheet and Delegations of Duties Log 10-Jun-2020), and the 'Date Stopped' field for the PIs' previous role of Sub Investigator. A note to file was produced to explain the above described discrepancies into upon the tasks list into the log.</t>
  </si>
  <si>
    <t>05APR2024: Site Care Partner (SCP) shared with site staff the instructions about the Site Signature and Delegation of Duties Log (SSDDL) filling in case of change Principal Investigator (PI).On 03JUL2024, Principal Investigator (PI) completed both the 'Date Stopped' field for the outgoing Principal Investigator on Section 1 of the original SSDDL (INV02-INV04-GSOP-RF09 6.0 Signature Sheet and Delegations of Duties Log 10-Jun-2020), and the 'Date Stopped' field for the PIs' previous role of Sub Investigator. A note to file was produced to explain the above described discrepancies into upon the tasks list into the log.Site staff were re-trained about sponsor requirements for SSDDL filling.Responsible role: Principal Investigator, Site Care Partner.</t>
  </si>
  <si>
    <t>Site staff were re-trained about sponsor requirments for SSDDL filling.</t>
  </si>
  <si>
    <t>QE-128137</t>
  </si>
  <si>
    <t>Documentation of source data was not ALCOACCEA compliant with respect to Complete and Available for 1 of 4 Study Participants reviewed. [ICH E6 (R2) Section 4.9.1, Attributable, Legible, Contemporaneous, Original, Accurate, Complete, Consistent, Enduring, and Available (ALCOACCEA)]. Study Participant 11811004: The reason
for the Principal Investigator (PI) breaking the blind status for Study Participant 11811004 on 25 Jan was not documented in the participant's medical chart.</t>
  </si>
  <si>
    <t>Site staff was re-trained about ALCOACCEA principle, training log up to date according.</t>
  </si>
  <si>
    <t>Site staff was re-trained about ALCOACCEA principle. The missing information was added to patient's medical record.Responsible role: Delegated medical staff, Site Care Partner.</t>
  </si>
  <si>
    <t xml:space="preserve">The missing information was added to patient's medical record. </t>
  </si>
  <si>
    <t>QE-127633</t>
  </si>
  <si>
    <t>Principal Investigator’s (PI) oversight was insufficient with respect to the delegation of study related duties. [ICH E6 (R2) 4.1.5] The following discrepancies were noted on the Site Signature and Delegations of Duties Log (SSDDL): i) The PI was delegated to Task 7 'Sign CRFs' but according to the Inform User Summary Report dated 2 Jul 2024 the PI did not have an active Inform user account.&amp;nbsp; iii) Task 19 'Break the Blind' was not delegated on the SSDDL but according to the Impala User Summary Report dated 21 Jun 2024 the PI and Sub Investigator had Break Blind access.</t>
  </si>
  <si>
    <t>SC re-opened a ticket to conclude the action. SCP re-trained site staff about sposnor's system management.</t>
  </si>
  <si>
    <t>Site Care Partner supported Principal Investigator and site staff with system access IWRS and CRF); more specifically during the on-site management visit occurred on May and Jun 2024, Site Care Partner supported Study Coordinator with disabling outgoing Principal Investigator (PI) IWRS and CRF access and updated incoming PI's access for both the systems (with PI role and relatives duties). Responsible role: Site Care Partner</t>
  </si>
  <si>
    <t>QE-127910</t>
  </si>
  <si>
    <t>Site monitoring activities did not detect issues identified during the audit. [Pfizer Study Monitoring Plan C4221016 Version 7, 29 Jan 2024, Pfizer Standard Operating Procedure INV04 GSOP Investigational Site Management and Monitoring (effective 01 Jun 2022)]. Issues noted during the audit that were not identified or adequately addressed by the monitoring: 1. Missing temperature monitoring documentation for blood samples transferred to a backup -80°C freezer. (QE-127867). 2. Discrepancies on the Signature Sheet and Delegation of Duties Log (QE-127621 and QE-127633). 3. Discrepancies with assigned Toxicity Grades in Adverse Event reporting. (QE-127624). 4. Close out of Issue I-501 EMIB for Data Clarification Form raised to update Kit Status in IRT (QE-127885).</t>
  </si>
  <si>
    <t>Next on site MV was planned both ion 21 August and 11 October 2024.</t>
  </si>
  <si>
    <t>In order to avoid future s issues, either Site Care Partner or Clinical Rresearch Assistant will perform extra visits in order to have a better oversight of the site and individuate possible non compliance.Responsible role: Site Care Partner, Clinical Research Assistant</t>
  </si>
  <si>
    <t>QE-127642</t>
  </si>
  <si>
    <t>Interactive Response System and Inform user accounts had not been properly maintained. [Investigational Product Manual Protocol C4221016 Version 5.0, 13 May 2024 and C4221016 eCRF Completion Requirements Version 3, 23 Aug 2022]. &amp;nbsp; According to the impala User Summary Report dated 21 Jun 2024 and the Inform User Summary Report dated 2 July 2024, the user account status for the previous Principal Investigator was "Active/Current User". In addition the Impala User Summary Report confirmed an active Break Blind status. &amp;nbsp;</t>
  </si>
  <si>
    <t>SCP re-supported PI and site staff with system access while on site on 02-03 JUL 2024. Newly assinged PI's credentials were confirmed to be up to date.</t>
  </si>
  <si>
    <t>Removal of Vanna’s C4221016 access was requested by Davide Campagnolo (study coordinator) and was completed by M. Madhuramala from the Account Provisioning team on 03JUL2024 (Audit Day 2). The information was translated from the Centralized Account Management tool (CAM) into a ticket at 06:21, also on 03JUL2024.Responsible role: Site staff, Sponsor staff</t>
  </si>
  <si>
    <t>CP403 - Acceptable Use of Information</t>
  </si>
  <si>
    <t>QE-127624</t>
  </si>
  <si>
    <t>Discrepancies were noted between Adverse Event (AE) data and data recorded in the AE electronic Case Report Forms (eCRF) for 3 of 4 study participants reviewed. [Protocol C4221016 Amendment 5: 09 Oct 2023]. 1. Study Participant 11811001: (i) AE Identifier 5, ALT increased. An AE of increased ALT (31 Mar 23 - 6 Apr 23), was recorded in the eCRF AE Log with a Toxicity Grade of 1 but a Toxicity Grade of 2 was recorded in the participant's medical chart. (ii) AE Identifier 6, ALT increased. An AE of increased ALT (7 Apr 23 - 19 Apr 23), was recorded in the eCRF AE Log with a Toxicity Grade of 1 but the Toxicity Grade was missing in the participant's medical chart.&amp;nbsp; 2. Study Participant 11811005: (i) AE Identifier 14, Anaemia. An AE of Anaemia (15 Jun 23 - 26 Jun 23), was recorded in the eCRF AE Log with a Toxicity Grade of 1 but the Toxicity Grade was missing in the participant's medical chart.&amp;nbsp; (ii) AE Identifier 15, ALT increased. An AE of increased ALT (15 Jun 23 - 2 Jul 23), was recorded in the eCRF AE Log with a Toxicity Grade of 1 but the Toxicity Grade was missing in the participant's medical chart. (iii) AE Identifier 22, ALT increased. An AE of increased ALT (8 Aug 23 - 20 Aug 23), was recorded in the eCRF AE Log with a Toxicity Grade of 1 but according to the participant's source on 8 Aug 23 the Toxicity Grade was 2 until an unplanned visit on 14 Aug 23 when it decreased to 1.&amp;nbsp; 3. Study Participant 11811010: (i) AE Identifier 11, Hyperglycaemia. An AE of Hyperglycaemia (12 Jan 24 - 21 Jan 24) was recorded in the eCRF AE Log with a Toxicity Grade of 1 but the Toxicity Grade was missing in the participant's medical chart.</t>
  </si>
  <si>
    <t xml:space="preserve">Re-train about EA reporting was recorded into training log. </t>
  </si>
  <si>
    <t>Principal Investigator and medical staff need to check the source documents and the CRF to make sure that all the AEs are correctly reported.Site staff were re-trained about EAs reporting.Responsible role: Principal Investigator, delegated medical site staff.</t>
  </si>
  <si>
    <t>QE-124323</t>
  </si>
  <si>
    <t>Principal Investigator oversight was inadequate as there was insufficient evidence to confirm that safety reports were reviewed by the Sub-Investigators and delegated duties were not adequately recorded on delegation log for the Ophthalmologist and Radiologist. [(ICH E6 (R2) 4.1.5, 4.2.4)]. 1. There was insufficient evidence to confirm that the Clinical Trial Safety Update Reports (CTSURs) for the IP medications Binimetinib and Encorafenib were reviewed by the Sub-Investigators as these reports were not printed and filed in the Investigator Site File. Note: It was reported by the Sub-Investigator that these were sent electronically to the site and not printed out and filed in the ISF. 1.1 All 10 of 10 CTSURs for the IP medication Binimetinib between period 21 Jul 2020 and 20 Jan 2024. 1.2 All 9 of 9 CTSURs for the IP medication Encorafenib between period 12 Nov 2020 and 03 Jan 2024. 2. The Signature Sheet and Delegation of Duties Log (SSDDL) did not contain delegation codes for the assessments performed by the Ophthalmologist and Radiologist.</t>
  </si>
  <si>
    <t>Oversight requirements were discussed with the PI on the 26-JUL-2024. A contact report was written and filed in the Pfizer Trial Master File (#608.02)</t>
  </si>
  <si>
    <t>Discussion of oversight requirements with the Principal investogator</t>
  </si>
  <si>
    <t>Site SOP for review of safety reports and knwledge sharing between all investigators was provided and reviewed by the monitor. Review documented in monitoring visit report, dated 21-AUG-2024, page 3 of 5 (SAFETY MONITORING - COMMENTS)</t>
  </si>
  <si>
    <t>Site to provide SOP/process description for the review of safety report and knowledge sharing with all investigators.</t>
  </si>
  <si>
    <t>Radiologists were added to the Signature Sheet and Delegation of Duties Log (SSDDL)</t>
  </si>
  <si>
    <t>Signature Sheet and Delegation of Duties Log (SSDDL) to be updated with task for radiologist.</t>
  </si>
  <si>
    <t>Until now no new trial was accepted by the site. However for all new studies the Principal investigator (PI) will be K-K, to reduce the workload of the current PI IvW</t>
  </si>
  <si>
    <t xml:space="preserve">All new (upcoming) studies at the site has to be assigned to a different Principal investigator (PI) to reduce the workload of the current PI </t>
  </si>
  <si>
    <t>QE-121882</t>
  </si>
  <si>
    <t>Essential documents filed in the Investigator Site File (ISF) were missing [ICH E6 (R2) 4.9.4]. 1. The following 28 documents were missing: 1.1. The financial disclosure form, and GCP E6 (R2) training certificate for the Sub-Investigator (SI) initials F.G. 1.2. The Pfizer one-page curriculum vita for the Sis initials J.K, F.G, M.B, and F.S. 1.3. Blank CRF version dated 16 Apr 2024. 1.4. Protocol Administrative Change Letter (PACL) dated 23 Jan 2024. 1.5. All 10 of 10 Clinical Trial Safety Update Reports (CTSURs) for the IP medication Binimetinib between period 21 Jul 2020 and 20 Jan 2024. Note: these were sent electronically to the site and not printed out and filed in the ISF. 1.6. All 9 of 9 Clinical Trial Safety Update Reports (CTSURs) for the IP medication Encorafenib between period 12 Nov 2020 and 03 Jan 2024. Note: these were sent electronically to the site and not printed out and filed in the ISF. The Investigator Site Source Location document dated 30 Aug 2022 did not detail the location of these CTSURs and there was no Note to File filed in the ISF to indicate the electronic location of these documents. 1.7. Monitoring confirmation letter for the Interim Monitoring Visit 16-17 Apr 2024. 1.8. CRF Completion Requirements version 3.0 dated 23-Aug-2022.</t>
  </si>
  <si>
    <t>Missing documents were filed in eISF</t>
  </si>
  <si>
    <t>Documents to be filed in Investigator Site File.</t>
  </si>
  <si>
    <t>.3333px; background-color: rgb(255, 255, 255);"Site Source Location Document was updated with location of electronic version of safety documentss; File note (Location of safety documents) has been provided to the Sponsor</t>
  </si>
  <si>
    <t>Site Source Location Document to be updated with location of electronic version of safety letters and creation of a File note in the ISF to indicate the location of these documents.</t>
  </si>
  <si>
    <t>.3333px; background-color: rgb(255, 255, 255);"Retraining of relevant staff about site responsibilities in terms of Investigator Site File (ISF)  maintenance performed and documented in the trainings log</t>
  </si>
  <si>
    <t>Retraining about site responsibilities in terms of Investigator Site File (ISF)  maintenance.</t>
  </si>
  <si>
    <t>Monitor performed complete Investigator Site File reconciliation and documented it in the Monitoring visit report attached (page2)</t>
  </si>
  <si>
    <t>Monitor to perform complete Investigator Site File reconciliation.</t>
  </si>
  <si>
    <t>Panella, Timothy John</t>
  </si>
  <si>
    <t>UNITED STATES</t>
  </si>
  <si>
    <t>C4221016_1009</t>
  </si>
  <si>
    <t>The filing of essential documents in the Pfizer Trial Master File (PTMF) was found to be incomplete [Pfizer CT01-GSOP Trial Master Files (effective 03 May 2021)].
The following documents were not found in PTMF at the time of the audit:
- Serious Adverse Event (SAE) forms (Initial and Follow-Ups) completed for Participants 10091001 and 10091002.
- Confirmation letters sent by the site monitor to the site for all site monitoring visits (site initiation visit and 5 of 5 routine monitoring visits).
- Monitor to Monitor Transition documentation for the current site monitor.
In addition, the following documents were filed in duplicate:
- Contact reports (between the site monitor and site; contact dates 08 Oct 2020 and 02 Jun 2021).
- Independent Review Board (IRB) approval dated 11 May 2021 of Pfizer Protocol C4221016 (Amendment 1: 31 March 2021) and other documents. This document was misfiled in PTMF under “IRB / IEC Communication - Suspected Unexpected Serious Adverse Reaction (SUSAR)” and “IRB / IEC Decision - Additional (Site Level)”</t>
  </si>
  <si>
    <t>Underlying issue:
1) CRA is responsible for ensuring all SAE reports, including follow-up reports, are present in the Investigator Site File (ISF). SAE reports are not filed in PTMF per Pfizer SOP CT01-GSOP-RF01 53.0 TMF Document List and AEM01-WISER130 - Case 
Processing Principles: Document archiving, retention, and retrieval
2) Filing of confirmation letters is no longer applicable as of 2-Nov-2020. Per PAREXEL SOP deviation: SOP-CLN-WW-006-03.c Site Management Deviation #6990047 and Following discussion with Pfizer TMF BPO, it was agreed that effective 
immediately, the visit Confirmation Letters are no longer required in PTMF, as these documents were listed in CT01 TMF.
However, CRAs will continue to use the confirmation letter as a best practice and site-management tool, but, consistent with GCP and the DIA Trial Master File Reference Model, these letters are not expected as a TMF document and, hence, will not be 
submitted to PTMF.
3) The change in site monitor notification was sent to site on 21-Jun-2021 by the outgoing CRA and introduction CRA notification was sent on 02-Jul-2021 by the Incoming CRA. Both these documents were inadvertently not filed timely in PTMF due to 
CRA error. 
4) Duplicate contact reports: the referenced contact reports were filed twice due to an application error. The reports are sent directly to PTMF from Siebel and this seems to be more of a system issue since no manual uploading of contact reports is done. 
Duplicate documents were removed on 19-Oct-2021.
5) Duplicate IRB document dated 11-May-2021: On review it was noted that the site notified the IRB about the SAEs together with the notification of protocol Amendment 1. The IRB letter dated 11-May-2021, acknowledges both in the same document and 
was, hence, filed twice in PTMF, but with different place holders, i.e. 235.01 and 624.01.
Corrective actions:
1) and 2) No corrective actions are warranted 
3) For the change in CRA notifications to the site, the letters dated 21-Jun-2021 and 02-Jul-2021 were uploaded to PTMF on 15-Oct-2021.
4) Duplicate contact reports: On 17-Oct-2021, the PTMF owner was requested to deactivate the contact report dated 08-Oct-2021. Contact report dated 02-Jun-2021 is in QC re-work and has been deactivated on 19-Oct-2021.
5) Duplicate IRB document: The PTMF owner was contacted on 15-Oct-2021 to confirm if the document can be filed in both the place holders, i.e. 235.01 and 624.01. The PTMF owner informed the PAREXEL COL by email dated 18Oct2021 that it was 
acceptable to file the same document using two different place holders.
Preventive actions:
1)  and 2) Not applicable
 3) The requirement to file documents in PTMF in a timely will be iterated to the CRA at the next team call on 25-Oct-2021. 
4) and 5) Clinical Operation Lead (COL) for this study discussed with the CRA on 15-Oct-2021 to check for any other duplicate contact reports and have them deactivated in PTMF.</t>
  </si>
  <si>
    <t>Keval Patel</t>
  </si>
  <si>
    <t>CT01-GSOP - TRIAL MASTER FILES (EFFECTIVE&amp;RETIRED); CT01-GSOP - TRIAL MASTER FILES (EFFECTIVE&amp;RETIRED)</t>
  </si>
  <si>
    <t>The collection of serious adverse event (SAE) was discrepant from the mechanism of reporting detailed in the study protocol. [Pfizer Protocol C4221016 (Amendment 1, 31 Mar 2021)]
Pfizer Protocol C4221016, Section 10.3.4. “Reporting of SAEs” stated: “The primary mechanism for reporting an SAE to Pfizer Safety will be the electronic data collection tool. If the electronic system is unavailable, then the site will use the paper SAE data collection tool […] in order to report the event within 24 hours.  The site will enter the SAE data into the electronic system as soon as the data become available”.
However, no documentation regarding “electronic data collection tool” which would allow the site to report SAE to Pfizer Safety as soon as the data becomes available and within 24 hours of site’s awareness was found during review of the Pfizer Trial Master File (PTMF).
Note: no “electronic data collection tool” or equivalent method of SAE submission via the electronic Case Report Form (eCRF) was mentioned in the Pfizer C4221016 CRF Completion Requirements for InForm (Version 1: 01 Dec 2020). The site staff also confirmed that they reported SAEs using the paper SAE form. The issue was also clarified with PAREXEL study manager after the audit: there was no tool to report SAEs electronically.</t>
  </si>
  <si>
    <t>Protocol section 10.3.4 describes two accepted methods for reporting SAEs to Pfizer Drug Safety Unit (DSU), however protocol section 8.3.1.1 – reporting SAEs to Pfizer safety and the Monitoring Plan (MP), version 2.0, dated 12-Jul-2021, describes only the use of the paper AE01 forms for reporting SAEs. The SAEs reported by this site were done using the AE01 forms, which were faxed to Pfizer Safety, per the  MP. Therefore, protocol requirements for SAE reporting were followed by the site.</t>
  </si>
  <si>
    <t>DMB07 - CRF and Database Design; DMB07 - CRF and Database Design</t>
  </si>
  <si>
    <t>Remediation Closed - Verified</t>
  </si>
  <si>
    <t>The reporting of protocol deviations to Independent Review Board (IRB) was found to be incomplete. [Pfizer C4221016 Study Monitoring Plan (Version 2.0: 12 Jul 2021)] 
Section 1 “Monitoring Details” of the Study Monitoring Plan stated that the site monitor should ensure that protocol deviations are reported to IRB per local requirements. Advarra IRB was responsible for ethics review.
According to Protocol Deviation Report downloaded from Pfizer Siebel database, six (6) protocol deviations were registered by the site monitor. In accordance with “Action taken” description in the report and/or the relevant monitoring visit report(s), IRB was (or had to be) notified about protocol deviations in 6 of 6 cases.
However, no documentation confirming that IRB was notified of the protocol deviations was found in the Pfizer Trial Master File (PTMF).
The issue was also discussed with the site team and the site monitor during the exit meeting. The site staff and the site monitor were not aware of any protocol deviations being reported to IRB.</t>
  </si>
  <si>
    <t>Underlying issue:
The site did not submit the protocol deviations (PDs), because they did not meet the reporting requirements as per the IRB Handbook for Investigators, Institutions, Sponsors and Sponsor/s representatives (version dated 09Nov2020). When completing the Monitoring Visit Report (MVR), 02Aug2021, the CRA mentioned in the “Action taken” that IRB was (or had to be) notified, as the CRA was pending confirmation from site staff whether the PDs met the reporting requirements or not.
Corrective actions:
During the Audit debrief call with the site on 27-Sep-2021, the [Regulatory Coordinator] informed the auditor that they did not submit the deviations as they did not meet the IRB’s reporting criteria as outlined in the guideline IRB Handbook for 
Investigators, Institutions, Sponsors and Sponsor/s representatives (version dated 09Nov2020).  
Per these guidelines, the IRB does not require reporting of “unplanned or unintentional violations/ deviations or changes in the study status that do not cause harm, place subjects at increased risk of harm, or adversely affect data integrity.”  
In addition, per the site’s currently effective SOP on Protocol Violations – Deviations (SOP #212; version 1.2 dated 07-Jun-2017), the Principal Investigator (PI) is responsible for classifying deviations/violations as major and minor. Per the SOP, minor 
deviations are defined as “those that do not impact subject safety, compromise the integrity of study data and/or affect subject willingness to participate in the study.” Minor deviations should only be reported to the IRB of record according to the IRB’s 
guidelines. 
COL/CRA on 18-Oct-2021 requested the site to document per their SOP, whether the PDs identified by the CRA meet IRB reporting criteria or not. CRA will follow-up with the site at the next monitoring visit on 04-Nov-2021 and will document completion in the monitoring visit report.
Preventive Actions: 
- CRA will remind the site at the next monitoring visit on 04-Nov-2021 the importance of showing clear documentation that all protocol deviations (PDs) have been reviewed and reported, as required, and will recommend implementation of a PD Log that  aligns with their SOP, including, for example, a field that documents review by the PI and PI’s classification as major or minor/reportable or not reportable. This discussion will be documented in the monitoring visit report.</t>
  </si>
  <si>
    <t>Failure to follow study specific monitoring plan/ requirements</t>
  </si>
  <si>
    <t>The information of the study protocol could not be fully read as the links to external sources did not display the target document [ICH E6 (R2): 2.5].
Pfizer Protocol C4221016 (Amendment 1, 31 Mar 2021), Section 6.5.1.4 “Drugs with a Known, Conditional or Probable Risk to Prolong the QT Interval and/or Induce Torsade de Pointes” stated:
“Participants receiving such medications must be carefully monitored for potentiating of toxicity due to any individual concomitant medication and may require dose titration of the concomitant medication. See the CredibleMeds® website:
• https://crediblemeds.org/pdftemp/pdf/CombinedList.pdf”
However, error 404 (Page Not Found) appeared once the link https://crediblemeds.org/pdftemp/pdf/CombinedList.pdf was opened or the address entered into a browser.</t>
  </si>
  <si>
    <t>Underlying issue:
Website browser address in the protocol brings users to the appropriate website, but displays an error message.  
Corrective actions: CredibleMeds.org is a free of charge website that provides access to anyone to find drugs that are known to prolong QT.  Upon access to the link, users can either enter the drug in question, or review a list of drugs known to prolong QT.  The sponsor acknowledges that while the “/pdftemp/pdf/CombinedList.pdf” correctly brings you to the CredibleMeds.org website, an error message does appear.  The sponsor can remove that part of the website address at the next protocol amendment and in the meantime, the CRAs can inform their sites to access CredibleMeds.org in the address browser instead of “crediblemeds.org/pdftemp/pdf/CombinedList.pdf”.
Preventive actions:
The sponsor will remove the second half of the website browser address at the next protocol amendment opportunity with the understanding that the link does still take users to the appropriate website. Sponsor to complete</t>
  </si>
  <si>
    <t>CT02 - CLINICAL PROTOCOLS; CT02 - CLINICAL PROTOCOLS</t>
  </si>
  <si>
    <t>Pfizer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</si>
</sst>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6F39-860A-4567-A28C-DBE5590F967E}">
  <dimension ref="A1:AI165"/>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45278</v>
      </c>
      <c r="D2" s="1">
        <v>45274</v>
      </c>
      <c r="F2" t="s">
        <v>37</v>
      </c>
      <c r="H2" t="s">
        <v>38</v>
      </c>
      <c r="J2" t="s">
        <v>39</v>
      </c>
      <c r="K2" t="s">
        <v>40</v>
      </c>
      <c r="L2" t="s">
        <v>41</v>
      </c>
      <c r="M2" t="s">
        <v>42</v>
      </c>
      <c r="N2" s="1">
        <v>45224</v>
      </c>
      <c r="P2" t="s">
        <v>43</v>
      </c>
      <c r="Q2" t="s">
        <v>44</v>
      </c>
      <c r="R2" t="s">
        <v>45</v>
      </c>
      <c r="S2" t="s">
        <v>46</v>
      </c>
      <c r="T2" t="s">
        <v>47</v>
      </c>
      <c r="V2" t="s">
        <v>48</v>
      </c>
      <c r="W2" t="s">
        <v>47</v>
      </c>
      <c r="X2" t="s">
        <v>49</v>
      </c>
      <c r="Y2" t="s">
        <v>49</v>
      </c>
      <c r="Z2" t="s">
        <v>50</v>
      </c>
      <c r="AA2" t="s">
        <v>51</v>
      </c>
      <c r="AB2" t="s">
        <v>52</v>
      </c>
      <c r="AC2" t="s">
        <v>53</v>
      </c>
      <c r="AD2" t="s">
        <v>54</v>
      </c>
      <c r="AE2" t="s">
        <v>55</v>
      </c>
      <c r="AF2" t="s">
        <v>56</v>
      </c>
      <c r="AG2" t="s">
        <v>57</v>
      </c>
      <c r="AH2">
        <v>84</v>
      </c>
      <c r="AI2" t="s">
        <v>58</v>
      </c>
    </row>
    <row r="3" spans="1:35" x14ac:dyDescent="0.35">
      <c r="A3" t="s">
        <v>35</v>
      </c>
      <c r="B3" t="s">
        <v>59</v>
      </c>
      <c r="C3" s="1">
        <v>45311</v>
      </c>
      <c r="D3" s="1">
        <v>45303</v>
      </c>
      <c r="F3" t="s">
        <v>37</v>
      </c>
      <c r="H3" t="s">
        <v>60</v>
      </c>
      <c r="J3" t="s">
        <v>39</v>
      </c>
      <c r="K3" t="s">
        <v>40</v>
      </c>
      <c r="L3" t="s">
        <v>41</v>
      </c>
      <c r="M3" t="s">
        <v>42</v>
      </c>
      <c r="N3" s="1">
        <v>45224</v>
      </c>
      <c r="P3" t="s">
        <v>61</v>
      </c>
      <c r="Q3" t="s">
        <v>44</v>
      </c>
      <c r="R3" t="s">
        <v>62</v>
      </c>
      <c r="S3" t="s">
        <v>63</v>
      </c>
      <c r="T3" t="s">
        <v>47</v>
      </c>
      <c r="V3" t="s">
        <v>48</v>
      </c>
      <c r="W3" t="s">
        <v>47</v>
      </c>
      <c r="X3" t="s">
        <v>49</v>
      </c>
      <c r="Y3" t="s">
        <v>49</v>
      </c>
      <c r="Z3" t="s">
        <v>64</v>
      </c>
      <c r="AA3" t="s">
        <v>65</v>
      </c>
      <c r="AB3" t="s">
        <v>66</v>
      </c>
      <c r="AC3" t="s">
        <v>67</v>
      </c>
      <c r="AD3" t="s">
        <v>54</v>
      </c>
      <c r="AE3" t="s">
        <v>55</v>
      </c>
      <c r="AF3" t="s">
        <v>56</v>
      </c>
      <c r="AG3" t="s">
        <v>57</v>
      </c>
      <c r="AH3">
        <v>84</v>
      </c>
      <c r="AI3" t="s">
        <v>58</v>
      </c>
    </row>
    <row r="4" spans="1:35" x14ac:dyDescent="0.35">
      <c r="A4" t="s">
        <v>35</v>
      </c>
      <c r="B4" t="s">
        <v>59</v>
      </c>
      <c r="C4" s="1">
        <v>45311</v>
      </c>
      <c r="D4" s="1">
        <v>45303</v>
      </c>
      <c r="F4" t="s">
        <v>37</v>
      </c>
      <c r="H4" t="s">
        <v>60</v>
      </c>
      <c r="J4" t="s">
        <v>39</v>
      </c>
      <c r="K4" t="s">
        <v>40</v>
      </c>
      <c r="L4" t="s">
        <v>41</v>
      </c>
      <c r="M4" t="s">
        <v>42</v>
      </c>
      <c r="N4" s="1">
        <v>45224</v>
      </c>
      <c r="P4" t="s">
        <v>61</v>
      </c>
      <c r="Q4" t="s">
        <v>44</v>
      </c>
      <c r="R4" t="s">
        <v>68</v>
      </c>
      <c r="S4" t="s">
        <v>69</v>
      </c>
      <c r="T4" t="s">
        <v>47</v>
      </c>
      <c r="V4" t="s">
        <v>48</v>
      </c>
      <c r="W4" t="s">
        <v>47</v>
      </c>
      <c r="X4" t="s">
        <v>49</v>
      </c>
      <c r="Y4" t="s">
        <v>49</v>
      </c>
      <c r="Z4" t="s">
        <v>64</v>
      </c>
      <c r="AA4" t="s">
        <v>65</v>
      </c>
      <c r="AB4" t="s">
        <v>66</v>
      </c>
      <c r="AC4" t="s">
        <v>67</v>
      </c>
      <c r="AD4" t="s">
        <v>54</v>
      </c>
      <c r="AE4" t="s">
        <v>55</v>
      </c>
      <c r="AF4" t="s">
        <v>56</v>
      </c>
      <c r="AG4" t="s">
        <v>57</v>
      </c>
      <c r="AH4">
        <v>84</v>
      </c>
      <c r="AI4" t="s">
        <v>58</v>
      </c>
    </row>
    <row r="5" spans="1:35" x14ac:dyDescent="0.35">
      <c r="A5" t="s">
        <v>35</v>
      </c>
      <c r="B5" t="s">
        <v>59</v>
      </c>
      <c r="C5" s="1">
        <v>45311</v>
      </c>
      <c r="D5" s="1">
        <v>45303</v>
      </c>
      <c r="F5" t="s">
        <v>37</v>
      </c>
      <c r="H5" t="s">
        <v>60</v>
      </c>
      <c r="J5" t="s">
        <v>39</v>
      </c>
      <c r="K5" t="s">
        <v>40</v>
      </c>
      <c r="L5" t="s">
        <v>41</v>
      </c>
      <c r="M5" t="s">
        <v>42</v>
      </c>
      <c r="N5" s="1">
        <v>45224</v>
      </c>
      <c r="P5" t="s">
        <v>61</v>
      </c>
      <c r="Q5" t="s">
        <v>44</v>
      </c>
      <c r="R5" t="s">
        <v>70</v>
      </c>
      <c r="S5" t="s">
        <v>71</v>
      </c>
      <c r="T5" t="s">
        <v>47</v>
      </c>
      <c r="V5" t="s">
        <v>48</v>
      </c>
      <c r="W5" t="s">
        <v>47</v>
      </c>
      <c r="X5" t="s">
        <v>49</v>
      </c>
      <c r="Y5" t="s">
        <v>49</v>
      </c>
      <c r="Z5" t="s">
        <v>64</v>
      </c>
      <c r="AA5" t="s">
        <v>65</v>
      </c>
      <c r="AB5" t="s">
        <v>66</v>
      </c>
      <c r="AC5" t="s">
        <v>67</v>
      </c>
      <c r="AD5" t="s">
        <v>54</v>
      </c>
      <c r="AE5" t="s">
        <v>55</v>
      </c>
      <c r="AF5" t="s">
        <v>56</v>
      </c>
      <c r="AG5" t="s">
        <v>57</v>
      </c>
      <c r="AH5">
        <v>84</v>
      </c>
      <c r="AI5" t="s">
        <v>58</v>
      </c>
    </row>
    <row r="6" spans="1:35" x14ac:dyDescent="0.35">
      <c r="A6" t="s">
        <v>35</v>
      </c>
      <c r="B6" t="s">
        <v>72</v>
      </c>
      <c r="C6" s="1">
        <v>45301</v>
      </c>
      <c r="D6" s="1">
        <v>45274</v>
      </c>
      <c r="F6" t="s">
        <v>37</v>
      </c>
      <c r="H6" t="s">
        <v>38</v>
      </c>
      <c r="J6" t="s">
        <v>39</v>
      </c>
      <c r="K6" t="s">
        <v>40</v>
      </c>
      <c r="L6" t="s">
        <v>41</v>
      </c>
      <c r="M6" t="s">
        <v>42</v>
      </c>
      <c r="N6" s="1">
        <v>45224</v>
      </c>
      <c r="P6" t="s">
        <v>73</v>
      </c>
      <c r="Q6" t="s">
        <v>44</v>
      </c>
      <c r="R6" t="s">
        <v>74</v>
      </c>
      <c r="S6" t="s">
        <v>75</v>
      </c>
      <c r="T6" t="s">
        <v>47</v>
      </c>
      <c r="V6" t="s">
        <v>48</v>
      </c>
      <c r="W6" t="s">
        <v>47</v>
      </c>
      <c r="X6" t="s">
        <v>49</v>
      </c>
      <c r="Y6" t="s">
        <v>49</v>
      </c>
      <c r="Z6" t="s">
        <v>76</v>
      </c>
      <c r="AA6" t="s">
        <v>77</v>
      </c>
      <c r="AB6" t="s">
        <v>52</v>
      </c>
      <c r="AC6" t="s">
        <v>78</v>
      </c>
      <c r="AD6" t="s">
        <v>54</v>
      </c>
      <c r="AE6" t="s">
        <v>55</v>
      </c>
      <c r="AF6" t="s">
        <v>56</v>
      </c>
      <c r="AG6" t="s">
        <v>57</v>
      </c>
      <c r="AH6">
        <v>84</v>
      </c>
      <c r="AI6" t="s">
        <v>58</v>
      </c>
    </row>
    <row r="7" spans="1:35" x14ac:dyDescent="0.35">
      <c r="A7" t="s">
        <v>35</v>
      </c>
      <c r="B7" t="s">
        <v>79</v>
      </c>
      <c r="C7" s="1">
        <v>45280</v>
      </c>
      <c r="D7" s="1">
        <v>45274</v>
      </c>
      <c r="F7" t="s">
        <v>37</v>
      </c>
      <c r="H7" t="s">
        <v>38</v>
      </c>
      <c r="J7" t="s">
        <v>39</v>
      </c>
      <c r="K7" t="s">
        <v>40</v>
      </c>
      <c r="L7" t="s">
        <v>41</v>
      </c>
      <c r="M7" t="s">
        <v>42</v>
      </c>
      <c r="N7" s="1">
        <v>45224</v>
      </c>
      <c r="P7" t="s">
        <v>80</v>
      </c>
      <c r="Q7" t="s">
        <v>44</v>
      </c>
      <c r="R7" t="s">
        <v>81</v>
      </c>
      <c r="S7" t="s">
        <v>82</v>
      </c>
      <c r="T7" t="s">
        <v>47</v>
      </c>
      <c r="V7" t="s">
        <v>48</v>
      </c>
      <c r="W7" t="s">
        <v>47</v>
      </c>
      <c r="X7" t="s">
        <v>49</v>
      </c>
      <c r="Y7" t="s">
        <v>49</v>
      </c>
      <c r="Z7" t="s">
        <v>83</v>
      </c>
      <c r="AA7" t="s">
        <v>84</v>
      </c>
      <c r="AB7" t="s">
        <v>52</v>
      </c>
      <c r="AC7" t="s">
        <v>78</v>
      </c>
      <c r="AD7" t="s">
        <v>54</v>
      </c>
      <c r="AE7" t="s">
        <v>55</v>
      </c>
      <c r="AF7" t="s">
        <v>56</v>
      </c>
      <c r="AG7" t="s">
        <v>57</v>
      </c>
      <c r="AH7">
        <v>84</v>
      </c>
      <c r="AI7" t="s">
        <v>58</v>
      </c>
    </row>
    <row r="8" spans="1:35" x14ac:dyDescent="0.35">
      <c r="A8" t="s">
        <v>35</v>
      </c>
      <c r="B8" t="s">
        <v>79</v>
      </c>
      <c r="C8" s="1">
        <v>45280</v>
      </c>
      <c r="D8" s="1">
        <v>45274</v>
      </c>
      <c r="F8" t="s">
        <v>37</v>
      </c>
      <c r="H8" t="s">
        <v>38</v>
      </c>
      <c r="J8" t="s">
        <v>39</v>
      </c>
      <c r="K8" t="s">
        <v>40</v>
      </c>
      <c r="L8" t="s">
        <v>41</v>
      </c>
      <c r="M8" t="s">
        <v>42</v>
      </c>
      <c r="N8" s="1">
        <v>45224</v>
      </c>
      <c r="P8" t="s">
        <v>80</v>
      </c>
      <c r="Q8" t="s">
        <v>44</v>
      </c>
      <c r="R8" t="s">
        <v>85</v>
      </c>
      <c r="S8" t="s">
        <v>86</v>
      </c>
      <c r="T8" t="s">
        <v>47</v>
      </c>
      <c r="V8" t="s">
        <v>48</v>
      </c>
      <c r="W8" t="s">
        <v>47</v>
      </c>
      <c r="X8" t="s">
        <v>49</v>
      </c>
      <c r="Y8" t="s">
        <v>49</v>
      </c>
      <c r="Z8" t="s">
        <v>83</v>
      </c>
      <c r="AA8" t="s">
        <v>84</v>
      </c>
      <c r="AB8" t="s">
        <v>52</v>
      </c>
      <c r="AC8" t="s">
        <v>78</v>
      </c>
      <c r="AD8" t="s">
        <v>54</v>
      </c>
      <c r="AE8" t="s">
        <v>55</v>
      </c>
      <c r="AF8" t="s">
        <v>56</v>
      </c>
      <c r="AG8" t="s">
        <v>57</v>
      </c>
      <c r="AH8">
        <v>84</v>
      </c>
      <c r="AI8" t="s">
        <v>58</v>
      </c>
    </row>
    <row r="9" spans="1:35" x14ac:dyDescent="0.35">
      <c r="A9" t="s">
        <v>35</v>
      </c>
      <c r="B9" t="s">
        <v>87</v>
      </c>
      <c r="C9" s="1">
        <v>45311</v>
      </c>
      <c r="D9" s="1">
        <v>45303</v>
      </c>
      <c r="F9" t="s">
        <v>37</v>
      </c>
      <c r="H9" t="s">
        <v>60</v>
      </c>
      <c r="J9" t="s">
        <v>39</v>
      </c>
      <c r="K9" t="s">
        <v>40</v>
      </c>
      <c r="L9" t="s">
        <v>41</v>
      </c>
      <c r="M9" t="s">
        <v>42</v>
      </c>
      <c r="N9" s="1">
        <v>45224</v>
      </c>
      <c r="P9" t="s">
        <v>88</v>
      </c>
      <c r="Q9" t="s">
        <v>44</v>
      </c>
      <c r="R9" t="s">
        <v>89</v>
      </c>
      <c r="S9" t="s">
        <v>90</v>
      </c>
      <c r="T9" t="s">
        <v>47</v>
      </c>
      <c r="V9" t="s">
        <v>48</v>
      </c>
      <c r="W9" t="s">
        <v>47</v>
      </c>
      <c r="X9" t="s">
        <v>49</v>
      </c>
      <c r="Y9" t="s">
        <v>49</v>
      </c>
      <c r="Z9" t="s">
        <v>76</v>
      </c>
      <c r="AA9" t="s">
        <v>91</v>
      </c>
      <c r="AB9" t="s">
        <v>52</v>
      </c>
      <c r="AC9" t="s">
        <v>78</v>
      </c>
      <c r="AD9" t="s">
        <v>54</v>
      </c>
      <c r="AE9" t="s">
        <v>55</v>
      </c>
      <c r="AF9" t="s">
        <v>56</v>
      </c>
      <c r="AG9" t="s">
        <v>57</v>
      </c>
      <c r="AH9">
        <v>84</v>
      </c>
      <c r="AI9" t="s">
        <v>58</v>
      </c>
    </row>
    <row r="10" spans="1:35" x14ac:dyDescent="0.35">
      <c r="A10" t="s">
        <v>35</v>
      </c>
      <c r="B10" t="s">
        <v>87</v>
      </c>
      <c r="C10" s="1">
        <v>45311</v>
      </c>
      <c r="D10" s="1">
        <v>45303</v>
      </c>
      <c r="F10" t="s">
        <v>37</v>
      </c>
      <c r="H10" t="s">
        <v>60</v>
      </c>
      <c r="J10" t="s">
        <v>39</v>
      </c>
      <c r="K10" t="s">
        <v>40</v>
      </c>
      <c r="L10" t="s">
        <v>41</v>
      </c>
      <c r="M10" t="s">
        <v>42</v>
      </c>
      <c r="N10" s="1">
        <v>45224</v>
      </c>
      <c r="P10" t="s">
        <v>88</v>
      </c>
      <c r="Q10" t="s">
        <v>44</v>
      </c>
      <c r="R10" t="s">
        <v>68</v>
      </c>
      <c r="S10" t="s">
        <v>92</v>
      </c>
      <c r="T10" t="s">
        <v>47</v>
      </c>
      <c r="V10" t="s">
        <v>48</v>
      </c>
      <c r="W10" t="s">
        <v>47</v>
      </c>
      <c r="X10" t="s">
        <v>49</v>
      </c>
      <c r="Y10" t="s">
        <v>49</v>
      </c>
      <c r="Z10" t="s">
        <v>76</v>
      </c>
      <c r="AA10" t="s">
        <v>91</v>
      </c>
      <c r="AB10" t="s">
        <v>52</v>
      </c>
      <c r="AC10" t="s">
        <v>78</v>
      </c>
      <c r="AD10" t="s">
        <v>54</v>
      </c>
      <c r="AE10" t="s">
        <v>55</v>
      </c>
      <c r="AF10" t="s">
        <v>56</v>
      </c>
      <c r="AG10" t="s">
        <v>57</v>
      </c>
      <c r="AH10">
        <v>84</v>
      </c>
      <c r="AI10" t="s">
        <v>58</v>
      </c>
    </row>
    <row r="11" spans="1:35" x14ac:dyDescent="0.35">
      <c r="A11" t="s">
        <v>35</v>
      </c>
      <c r="B11" t="s">
        <v>87</v>
      </c>
      <c r="C11" s="1">
        <v>45311</v>
      </c>
      <c r="D11" s="1">
        <v>45303</v>
      </c>
      <c r="F11" t="s">
        <v>37</v>
      </c>
      <c r="H11" t="s">
        <v>60</v>
      </c>
      <c r="J11" t="s">
        <v>39</v>
      </c>
      <c r="K11" t="s">
        <v>40</v>
      </c>
      <c r="L11" t="s">
        <v>41</v>
      </c>
      <c r="M11" t="s">
        <v>42</v>
      </c>
      <c r="N11" s="1">
        <v>45224</v>
      </c>
      <c r="P11" t="s">
        <v>88</v>
      </c>
      <c r="Q11" t="s">
        <v>44</v>
      </c>
      <c r="R11" t="s">
        <v>93</v>
      </c>
      <c r="S11" t="s">
        <v>94</v>
      </c>
      <c r="T11" t="s">
        <v>47</v>
      </c>
      <c r="V11" t="s">
        <v>48</v>
      </c>
      <c r="W11" t="s">
        <v>47</v>
      </c>
      <c r="X11" t="s">
        <v>49</v>
      </c>
      <c r="Y11" t="s">
        <v>49</v>
      </c>
      <c r="Z11" t="s">
        <v>76</v>
      </c>
      <c r="AA11" t="s">
        <v>91</v>
      </c>
      <c r="AB11" t="s">
        <v>52</v>
      </c>
      <c r="AC11" t="s">
        <v>78</v>
      </c>
      <c r="AD11" t="s">
        <v>54</v>
      </c>
      <c r="AE11" t="s">
        <v>55</v>
      </c>
      <c r="AF11" t="s">
        <v>56</v>
      </c>
      <c r="AG11" t="s">
        <v>57</v>
      </c>
      <c r="AH11">
        <v>84</v>
      </c>
      <c r="AI11" t="s">
        <v>58</v>
      </c>
    </row>
    <row r="12" spans="1:35" x14ac:dyDescent="0.35">
      <c r="A12" t="s">
        <v>35</v>
      </c>
      <c r="B12" t="s">
        <v>95</v>
      </c>
      <c r="C12" s="1">
        <v>45278</v>
      </c>
      <c r="D12" s="1">
        <v>45264</v>
      </c>
      <c r="F12" t="s">
        <v>37</v>
      </c>
      <c r="H12" t="s">
        <v>38</v>
      </c>
      <c r="J12" t="s">
        <v>39</v>
      </c>
      <c r="K12" t="s">
        <v>40</v>
      </c>
      <c r="L12" t="s">
        <v>41</v>
      </c>
      <c r="M12" t="s">
        <v>42</v>
      </c>
      <c r="N12" s="1">
        <v>45224</v>
      </c>
      <c r="P12" t="s">
        <v>96</v>
      </c>
      <c r="Q12" t="s">
        <v>44</v>
      </c>
      <c r="R12" t="s">
        <v>97</v>
      </c>
      <c r="S12" t="s">
        <v>98</v>
      </c>
      <c r="T12" t="s">
        <v>47</v>
      </c>
      <c r="V12" t="s">
        <v>48</v>
      </c>
      <c r="W12" t="s">
        <v>47</v>
      </c>
      <c r="X12" t="s">
        <v>49</v>
      </c>
      <c r="Y12" t="s">
        <v>49</v>
      </c>
      <c r="Z12" t="s">
        <v>83</v>
      </c>
      <c r="AA12" t="s">
        <v>99</v>
      </c>
      <c r="AB12" t="s">
        <v>52</v>
      </c>
      <c r="AC12" t="s">
        <v>78</v>
      </c>
      <c r="AD12" t="s">
        <v>54</v>
      </c>
      <c r="AE12" t="s">
        <v>55</v>
      </c>
      <c r="AF12" t="s">
        <v>56</v>
      </c>
      <c r="AG12" t="s">
        <v>57</v>
      </c>
      <c r="AH12">
        <v>84</v>
      </c>
      <c r="AI12" t="s">
        <v>58</v>
      </c>
    </row>
    <row r="13" spans="1:35" x14ac:dyDescent="0.35">
      <c r="A13" t="s">
        <v>35</v>
      </c>
      <c r="B13" t="s">
        <v>100</v>
      </c>
      <c r="C13" s="1">
        <v>45278</v>
      </c>
      <c r="D13" s="1">
        <v>45274</v>
      </c>
      <c r="F13" t="s">
        <v>37</v>
      </c>
      <c r="H13" t="s">
        <v>38</v>
      </c>
      <c r="J13" t="s">
        <v>39</v>
      </c>
      <c r="K13" t="s">
        <v>40</v>
      </c>
      <c r="L13" t="s">
        <v>41</v>
      </c>
      <c r="M13" t="s">
        <v>42</v>
      </c>
      <c r="N13" s="1">
        <v>45224</v>
      </c>
      <c r="P13" t="s">
        <v>101</v>
      </c>
      <c r="Q13" t="s">
        <v>44</v>
      </c>
      <c r="R13" t="s">
        <v>102</v>
      </c>
      <c r="S13" t="s">
        <v>103</v>
      </c>
      <c r="T13" t="s">
        <v>47</v>
      </c>
      <c r="V13" t="s">
        <v>48</v>
      </c>
      <c r="W13" t="s">
        <v>47</v>
      </c>
      <c r="X13" t="s">
        <v>49</v>
      </c>
      <c r="Y13" t="s">
        <v>49</v>
      </c>
      <c r="Z13" t="s">
        <v>104</v>
      </c>
      <c r="AA13" t="s">
        <v>105</v>
      </c>
      <c r="AB13" t="s">
        <v>52</v>
      </c>
      <c r="AC13" t="s">
        <v>78</v>
      </c>
      <c r="AD13" t="s">
        <v>54</v>
      </c>
      <c r="AE13" t="s">
        <v>55</v>
      </c>
      <c r="AF13" t="s">
        <v>56</v>
      </c>
      <c r="AG13" t="s">
        <v>57</v>
      </c>
      <c r="AH13">
        <v>84</v>
      </c>
      <c r="AI13" t="s">
        <v>58</v>
      </c>
    </row>
    <row r="14" spans="1:35" x14ac:dyDescent="0.35">
      <c r="A14" t="s">
        <v>35</v>
      </c>
      <c r="B14" t="s">
        <v>106</v>
      </c>
      <c r="C14" s="1">
        <v>45323</v>
      </c>
      <c r="D14" s="1">
        <v>45316</v>
      </c>
      <c r="F14" t="s">
        <v>37</v>
      </c>
      <c r="H14" t="s">
        <v>60</v>
      </c>
      <c r="J14" t="s">
        <v>39</v>
      </c>
      <c r="K14" t="s">
        <v>40</v>
      </c>
      <c r="L14" t="s">
        <v>41</v>
      </c>
      <c r="M14" t="s">
        <v>42</v>
      </c>
      <c r="N14" s="1">
        <v>45224</v>
      </c>
      <c r="P14" t="s">
        <v>107</v>
      </c>
      <c r="Q14" t="s">
        <v>44</v>
      </c>
      <c r="R14" t="s">
        <v>108</v>
      </c>
      <c r="S14" t="s">
        <v>109</v>
      </c>
      <c r="T14" t="s">
        <v>47</v>
      </c>
      <c r="V14" t="s">
        <v>48</v>
      </c>
      <c r="W14" t="s">
        <v>47</v>
      </c>
      <c r="X14" t="s">
        <v>49</v>
      </c>
      <c r="Y14" t="s">
        <v>49</v>
      </c>
      <c r="Z14" t="s">
        <v>110</v>
      </c>
      <c r="AA14" t="s">
        <v>111</v>
      </c>
      <c r="AB14" t="s">
        <v>112</v>
      </c>
      <c r="AC14" t="s">
        <v>53</v>
      </c>
      <c r="AD14" t="s">
        <v>54</v>
      </c>
      <c r="AE14" t="s">
        <v>55</v>
      </c>
      <c r="AF14" t="s">
        <v>56</v>
      </c>
      <c r="AG14" t="s">
        <v>57</v>
      </c>
      <c r="AH14">
        <v>84</v>
      </c>
      <c r="AI14" t="s">
        <v>58</v>
      </c>
    </row>
    <row r="15" spans="1:35" x14ac:dyDescent="0.35">
      <c r="A15" t="s">
        <v>35</v>
      </c>
      <c r="B15" t="s">
        <v>106</v>
      </c>
      <c r="C15" s="1">
        <v>45323</v>
      </c>
      <c r="D15" s="1">
        <v>45316</v>
      </c>
      <c r="F15" t="s">
        <v>37</v>
      </c>
      <c r="H15" t="s">
        <v>60</v>
      </c>
      <c r="J15" t="s">
        <v>39</v>
      </c>
      <c r="K15" t="s">
        <v>40</v>
      </c>
      <c r="L15" t="s">
        <v>41</v>
      </c>
      <c r="M15" t="s">
        <v>42</v>
      </c>
      <c r="N15" s="1">
        <v>45224</v>
      </c>
      <c r="P15" t="s">
        <v>107</v>
      </c>
      <c r="Q15" t="s">
        <v>44</v>
      </c>
      <c r="R15" t="s">
        <v>113</v>
      </c>
      <c r="S15" t="s">
        <v>114</v>
      </c>
      <c r="T15" t="s">
        <v>47</v>
      </c>
      <c r="V15" t="s">
        <v>48</v>
      </c>
      <c r="W15" t="s">
        <v>47</v>
      </c>
      <c r="X15" t="s">
        <v>49</v>
      </c>
      <c r="Y15" t="s">
        <v>49</v>
      </c>
      <c r="Z15" t="s">
        <v>110</v>
      </c>
      <c r="AA15" t="s">
        <v>111</v>
      </c>
      <c r="AB15" t="s">
        <v>112</v>
      </c>
      <c r="AC15" t="s">
        <v>53</v>
      </c>
      <c r="AD15" t="s">
        <v>54</v>
      </c>
      <c r="AE15" t="s">
        <v>55</v>
      </c>
      <c r="AF15" t="s">
        <v>56</v>
      </c>
      <c r="AG15" t="s">
        <v>57</v>
      </c>
      <c r="AH15">
        <v>84</v>
      </c>
      <c r="AI15" t="s">
        <v>58</v>
      </c>
    </row>
    <row r="16" spans="1:35" x14ac:dyDescent="0.35">
      <c r="A16" t="s">
        <v>35</v>
      </c>
      <c r="B16" t="s">
        <v>106</v>
      </c>
      <c r="C16" s="1">
        <v>45323</v>
      </c>
      <c r="D16" s="1">
        <v>45316</v>
      </c>
      <c r="F16" t="s">
        <v>37</v>
      </c>
      <c r="H16" t="s">
        <v>60</v>
      </c>
      <c r="J16" t="s">
        <v>39</v>
      </c>
      <c r="K16" t="s">
        <v>40</v>
      </c>
      <c r="L16" t="s">
        <v>41</v>
      </c>
      <c r="M16" t="s">
        <v>42</v>
      </c>
      <c r="N16" s="1">
        <v>45224</v>
      </c>
      <c r="P16" t="s">
        <v>107</v>
      </c>
      <c r="Q16" t="s">
        <v>44</v>
      </c>
      <c r="R16" t="s">
        <v>115</v>
      </c>
      <c r="S16" t="s">
        <v>116</v>
      </c>
      <c r="T16" t="s">
        <v>47</v>
      </c>
      <c r="V16" t="s">
        <v>48</v>
      </c>
      <c r="W16" t="s">
        <v>47</v>
      </c>
      <c r="X16" t="s">
        <v>49</v>
      </c>
      <c r="Y16" t="s">
        <v>49</v>
      </c>
      <c r="Z16" t="s">
        <v>110</v>
      </c>
      <c r="AA16" t="s">
        <v>111</v>
      </c>
      <c r="AB16" t="s">
        <v>112</v>
      </c>
      <c r="AC16" t="s">
        <v>53</v>
      </c>
      <c r="AD16" t="s">
        <v>54</v>
      </c>
      <c r="AE16" t="s">
        <v>55</v>
      </c>
      <c r="AF16" t="s">
        <v>56</v>
      </c>
      <c r="AG16" t="s">
        <v>57</v>
      </c>
      <c r="AH16">
        <v>84</v>
      </c>
      <c r="AI16" t="s">
        <v>58</v>
      </c>
    </row>
    <row r="17" spans="1:35" x14ac:dyDescent="0.35">
      <c r="A17" t="s">
        <v>35</v>
      </c>
      <c r="B17" t="s">
        <v>117</v>
      </c>
      <c r="C17" s="1">
        <v>45267</v>
      </c>
      <c r="D17" s="1">
        <v>45267</v>
      </c>
      <c r="F17" t="s">
        <v>37</v>
      </c>
      <c r="H17" t="s">
        <v>38</v>
      </c>
      <c r="J17" t="s">
        <v>39</v>
      </c>
      <c r="K17" t="s">
        <v>40</v>
      </c>
      <c r="L17" t="s">
        <v>41</v>
      </c>
      <c r="M17" t="s">
        <v>42</v>
      </c>
      <c r="N17" s="1">
        <v>45224</v>
      </c>
      <c r="P17" t="s">
        <v>118</v>
      </c>
      <c r="Q17" t="s">
        <v>44</v>
      </c>
      <c r="R17" t="s">
        <v>119</v>
      </c>
      <c r="S17" t="s">
        <v>120</v>
      </c>
      <c r="T17" t="s">
        <v>47</v>
      </c>
      <c r="V17" t="s">
        <v>48</v>
      </c>
      <c r="W17" t="s">
        <v>47</v>
      </c>
      <c r="X17" t="s">
        <v>49</v>
      </c>
      <c r="Y17" t="s">
        <v>49</v>
      </c>
      <c r="Z17" t="s">
        <v>83</v>
      </c>
      <c r="AA17" t="s">
        <v>84</v>
      </c>
      <c r="AB17" t="s">
        <v>52</v>
      </c>
      <c r="AC17" t="s">
        <v>78</v>
      </c>
      <c r="AD17" t="s">
        <v>54</v>
      </c>
      <c r="AE17" t="s">
        <v>55</v>
      </c>
      <c r="AF17" t="s">
        <v>56</v>
      </c>
      <c r="AG17" t="s">
        <v>57</v>
      </c>
      <c r="AH17">
        <v>84</v>
      </c>
      <c r="AI17" t="s">
        <v>58</v>
      </c>
    </row>
    <row r="18" spans="1:35" x14ac:dyDescent="0.35">
      <c r="A18" t="s">
        <v>121</v>
      </c>
      <c r="B18" t="s">
        <v>122</v>
      </c>
      <c r="C18" s="1">
        <v>45359</v>
      </c>
      <c r="D18" s="1">
        <v>45358</v>
      </c>
      <c r="F18" t="s">
        <v>37</v>
      </c>
      <c r="H18" t="s">
        <v>38</v>
      </c>
      <c r="J18" t="s">
        <v>123</v>
      </c>
      <c r="K18" t="s">
        <v>124</v>
      </c>
      <c r="L18" t="s">
        <v>125</v>
      </c>
      <c r="M18" t="s">
        <v>42</v>
      </c>
      <c r="N18" s="1">
        <v>45330</v>
      </c>
      <c r="P18" t="s">
        <v>126</v>
      </c>
      <c r="Q18" t="s">
        <v>44</v>
      </c>
      <c r="R18" t="s">
        <v>127</v>
      </c>
      <c r="S18" t="s">
        <v>128</v>
      </c>
      <c r="T18" t="s">
        <v>129</v>
      </c>
      <c r="V18" t="s">
        <v>48</v>
      </c>
      <c r="W18" t="s">
        <v>129</v>
      </c>
      <c r="X18" t="s">
        <v>49</v>
      </c>
      <c r="Y18" t="s">
        <v>49</v>
      </c>
      <c r="Z18" t="s">
        <v>83</v>
      </c>
      <c r="AA18" t="s">
        <v>99</v>
      </c>
      <c r="AB18" t="s">
        <v>52</v>
      </c>
      <c r="AC18" t="s">
        <v>78</v>
      </c>
      <c r="AD18" t="s">
        <v>54</v>
      </c>
      <c r="AE18" t="s">
        <v>55</v>
      </c>
      <c r="AF18" t="s">
        <v>130</v>
      </c>
      <c r="AG18" t="s">
        <v>57</v>
      </c>
      <c r="AH18">
        <v>310</v>
      </c>
      <c r="AI18" t="s">
        <v>131</v>
      </c>
    </row>
    <row r="19" spans="1:35" x14ac:dyDescent="0.35">
      <c r="A19" t="s">
        <v>121</v>
      </c>
      <c r="B19" t="s">
        <v>132</v>
      </c>
      <c r="C19" s="1">
        <v>45366</v>
      </c>
      <c r="D19" s="1">
        <v>45358</v>
      </c>
      <c r="F19" t="s">
        <v>37</v>
      </c>
      <c r="H19" t="s">
        <v>38</v>
      </c>
      <c r="J19" t="s">
        <v>123</v>
      </c>
      <c r="K19" t="s">
        <v>124</v>
      </c>
      <c r="L19" t="s">
        <v>125</v>
      </c>
      <c r="M19" t="s">
        <v>42</v>
      </c>
      <c r="N19" s="1">
        <v>45330</v>
      </c>
      <c r="P19" t="s">
        <v>133</v>
      </c>
      <c r="Q19" t="s">
        <v>44</v>
      </c>
      <c r="R19" t="s">
        <v>134</v>
      </c>
      <c r="S19" t="s">
        <v>135</v>
      </c>
      <c r="T19" t="s">
        <v>129</v>
      </c>
      <c r="V19" t="s">
        <v>48</v>
      </c>
      <c r="W19" t="s">
        <v>129</v>
      </c>
      <c r="X19" t="s">
        <v>49</v>
      </c>
      <c r="Y19" t="s">
        <v>49</v>
      </c>
      <c r="Z19" t="s">
        <v>104</v>
      </c>
      <c r="AA19" t="s">
        <v>136</v>
      </c>
      <c r="AB19" t="s">
        <v>137</v>
      </c>
      <c r="AC19" t="s">
        <v>138</v>
      </c>
      <c r="AD19" t="s">
        <v>54</v>
      </c>
      <c r="AE19" t="s">
        <v>55</v>
      </c>
      <c r="AF19" t="s">
        <v>130</v>
      </c>
      <c r="AG19" t="s">
        <v>57</v>
      </c>
      <c r="AH19">
        <v>310</v>
      </c>
      <c r="AI19" t="s">
        <v>131</v>
      </c>
    </row>
    <row r="20" spans="1:35" x14ac:dyDescent="0.35">
      <c r="A20" t="s">
        <v>121</v>
      </c>
      <c r="B20" t="s">
        <v>139</v>
      </c>
      <c r="C20" s="1">
        <v>45359</v>
      </c>
      <c r="D20" s="1">
        <v>45455</v>
      </c>
      <c r="F20" t="s">
        <v>140</v>
      </c>
      <c r="H20" t="s">
        <v>38</v>
      </c>
      <c r="J20" t="s">
        <v>123</v>
      </c>
      <c r="K20" t="s">
        <v>124</v>
      </c>
      <c r="L20" t="s">
        <v>125</v>
      </c>
      <c r="M20" t="s">
        <v>42</v>
      </c>
      <c r="N20" s="1">
        <v>45330</v>
      </c>
      <c r="P20" t="s">
        <v>141</v>
      </c>
      <c r="Q20" t="s">
        <v>44</v>
      </c>
      <c r="R20" t="s">
        <v>142</v>
      </c>
      <c r="S20" t="s">
        <v>143</v>
      </c>
      <c r="T20" t="s">
        <v>129</v>
      </c>
      <c r="V20" t="s">
        <v>48</v>
      </c>
      <c r="W20" t="s">
        <v>129</v>
      </c>
      <c r="X20" t="s">
        <v>49</v>
      </c>
      <c r="Y20" t="s">
        <v>49</v>
      </c>
      <c r="Z20" t="s">
        <v>144</v>
      </c>
      <c r="AA20" t="s">
        <v>145</v>
      </c>
      <c r="AB20" t="s">
        <v>146</v>
      </c>
      <c r="AC20" t="s">
        <v>138</v>
      </c>
      <c r="AD20" t="s">
        <v>54</v>
      </c>
      <c r="AE20" t="s">
        <v>55</v>
      </c>
      <c r="AF20" t="s">
        <v>130</v>
      </c>
      <c r="AG20" t="s">
        <v>57</v>
      </c>
      <c r="AH20">
        <v>310</v>
      </c>
      <c r="AI20" t="s">
        <v>131</v>
      </c>
    </row>
    <row r="21" spans="1:35" x14ac:dyDescent="0.35">
      <c r="A21" t="s">
        <v>121</v>
      </c>
      <c r="B21" t="s">
        <v>147</v>
      </c>
      <c r="C21" s="1">
        <v>45390</v>
      </c>
      <c r="D21" s="1">
        <v>45489</v>
      </c>
      <c r="F21" t="s">
        <v>140</v>
      </c>
      <c r="H21" t="s">
        <v>60</v>
      </c>
      <c r="J21" t="s">
        <v>123</v>
      </c>
      <c r="K21" t="s">
        <v>124</v>
      </c>
      <c r="L21" t="s">
        <v>125</v>
      </c>
      <c r="M21" t="s">
        <v>42</v>
      </c>
      <c r="N21" s="1">
        <v>45330</v>
      </c>
      <c r="P21" t="s">
        <v>148</v>
      </c>
      <c r="Q21" t="s">
        <v>44</v>
      </c>
      <c r="R21" t="s">
        <v>149</v>
      </c>
      <c r="S21" t="s">
        <v>150</v>
      </c>
      <c r="T21" t="s">
        <v>129</v>
      </c>
      <c r="V21" t="s">
        <v>48</v>
      </c>
      <c r="W21" t="s">
        <v>129</v>
      </c>
      <c r="X21" t="s">
        <v>49</v>
      </c>
      <c r="Y21" t="s">
        <v>49</v>
      </c>
      <c r="Z21" t="s">
        <v>151</v>
      </c>
      <c r="AA21" t="s">
        <v>152</v>
      </c>
      <c r="AB21" t="s">
        <v>52</v>
      </c>
      <c r="AC21" t="s">
        <v>67</v>
      </c>
      <c r="AD21" t="s">
        <v>54</v>
      </c>
      <c r="AE21" t="s">
        <v>55</v>
      </c>
      <c r="AF21" t="s">
        <v>130</v>
      </c>
      <c r="AG21" t="s">
        <v>57</v>
      </c>
      <c r="AH21">
        <v>310</v>
      </c>
      <c r="AI21" t="s">
        <v>131</v>
      </c>
    </row>
    <row r="22" spans="1:35" x14ac:dyDescent="0.35">
      <c r="A22" t="s">
        <v>121</v>
      </c>
      <c r="B22" t="s">
        <v>147</v>
      </c>
      <c r="C22" s="1">
        <v>45390</v>
      </c>
      <c r="D22" s="1">
        <v>45489</v>
      </c>
      <c r="F22" t="s">
        <v>140</v>
      </c>
      <c r="H22" t="s">
        <v>60</v>
      </c>
      <c r="J22" t="s">
        <v>123</v>
      </c>
      <c r="K22" t="s">
        <v>124</v>
      </c>
      <c r="L22" t="s">
        <v>125</v>
      </c>
      <c r="M22" t="s">
        <v>42</v>
      </c>
      <c r="N22" s="1">
        <v>45330</v>
      </c>
      <c r="P22" t="s">
        <v>148</v>
      </c>
      <c r="Q22" t="s">
        <v>44</v>
      </c>
      <c r="R22" t="s">
        <v>153</v>
      </c>
      <c r="S22" t="s">
        <v>154</v>
      </c>
      <c r="T22" t="s">
        <v>129</v>
      </c>
      <c r="V22" t="s">
        <v>48</v>
      </c>
      <c r="W22" t="s">
        <v>129</v>
      </c>
      <c r="X22" t="s">
        <v>49</v>
      </c>
      <c r="Y22" t="s">
        <v>49</v>
      </c>
      <c r="Z22" t="s">
        <v>151</v>
      </c>
      <c r="AA22" t="s">
        <v>152</v>
      </c>
      <c r="AB22" t="s">
        <v>52</v>
      </c>
      <c r="AC22" t="s">
        <v>67</v>
      </c>
      <c r="AD22" t="s">
        <v>54</v>
      </c>
      <c r="AE22" t="s">
        <v>55</v>
      </c>
      <c r="AF22" t="s">
        <v>130</v>
      </c>
      <c r="AG22" t="s">
        <v>57</v>
      </c>
      <c r="AH22">
        <v>310</v>
      </c>
      <c r="AI22" t="s">
        <v>131</v>
      </c>
    </row>
    <row r="23" spans="1:35" x14ac:dyDescent="0.35">
      <c r="A23" t="s">
        <v>121</v>
      </c>
      <c r="B23" t="s">
        <v>147</v>
      </c>
      <c r="C23" s="1">
        <v>45390</v>
      </c>
      <c r="D23" s="1">
        <v>45489</v>
      </c>
      <c r="F23" t="s">
        <v>140</v>
      </c>
      <c r="H23" t="s">
        <v>60</v>
      </c>
      <c r="J23" t="s">
        <v>123</v>
      </c>
      <c r="K23" t="s">
        <v>124</v>
      </c>
      <c r="L23" t="s">
        <v>125</v>
      </c>
      <c r="M23" t="s">
        <v>42</v>
      </c>
      <c r="N23" s="1">
        <v>45330</v>
      </c>
      <c r="P23" t="s">
        <v>148</v>
      </c>
      <c r="Q23" t="s">
        <v>44</v>
      </c>
      <c r="R23" t="s">
        <v>155</v>
      </c>
      <c r="S23" t="s">
        <v>156</v>
      </c>
      <c r="T23" t="s">
        <v>129</v>
      </c>
      <c r="V23" t="s">
        <v>48</v>
      </c>
      <c r="W23" t="s">
        <v>129</v>
      </c>
      <c r="X23" t="s">
        <v>49</v>
      </c>
      <c r="Y23" t="s">
        <v>49</v>
      </c>
      <c r="Z23" t="s">
        <v>151</v>
      </c>
      <c r="AA23" t="s">
        <v>152</v>
      </c>
      <c r="AB23" t="s">
        <v>52</v>
      </c>
      <c r="AC23" t="s">
        <v>67</v>
      </c>
      <c r="AD23" t="s">
        <v>54</v>
      </c>
      <c r="AE23" t="s">
        <v>55</v>
      </c>
      <c r="AF23" t="s">
        <v>130</v>
      </c>
      <c r="AG23" t="s">
        <v>57</v>
      </c>
      <c r="AH23">
        <v>310</v>
      </c>
      <c r="AI23" t="s">
        <v>131</v>
      </c>
    </row>
    <row r="24" spans="1:35" x14ac:dyDescent="0.35">
      <c r="A24" t="s">
        <v>121</v>
      </c>
      <c r="B24" t="s">
        <v>157</v>
      </c>
      <c r="C24" s="1">
        <v>45359</v>
      </c>
      <c r="D24" s="1">
        <v>45358</v>
      </c>
      <c r="F24" t="s">
        <v>37</v>
      </c>
      <c r="H24" t="s">
        <v>38</v>
      </c>
      <c r="J24" t="s">
        <v>123</v>
      </c>
      <c r="K24" t="s">
        <v>124</v>
      </c>
      <c r="L24" t="s">
        <v>125</v>
      </c>
      <c r="M24" t="s">
        <v>42</v>
      </c>
      <c r="N24" s="1">
        <v>45330</v>
      </c>
      <c r="P24" t="s">
        <v>158</v>
      </c>
      <c r="Q24" t="s">
        <v>44</v>
      </c>
      <c r="R24" t="s">
        <v>159</v>
      </c>
      <c r="S24" t="s">
        <v>160</v>
      </c>
      <c r="T24" t="s">
        <v>129</v>
      </c>
      <c r="V24" t="s">
        <v>48</v>
      </c>
      <c r="W24" t="s">
        <v>129</v>
      </c>
      <c r="X24" t="s">
        <v>49</v>
      </c>
      <c r="Y24" t="s">
        <v>49</v>
      </c>
      <c r="Z24" t="s">
        <v>104</v>
      </c>
      <c r="AA24" t="s">
        <v>105</v>
      </c>
      <c r="AB24" t="s">
        <v>161</v>
      </c>
      <c r="AC24" t="s">
        <v>78</v>
      </c>
      <c r="AD24" t="s">
        <v>54</v>
      </c>
      <c r="AE24" t="s">
        <v>55</v>
      </c>
      <c r="AF24" t="s">
        <v>130</v>
      </c>
      <c r="AG24" t="s">
        <v>57</v>
      </c>
      <c r="AH24">
        <v>310</v>
      </c>
      <c r="AI24" t="s">
        <v>131</v>
      </c>
    </row>
    <row r="25" spans="1:35" x14ac:dyDescent="0.35">
      <c r="A25" t="s">
        <v>121</v>
      </c>
      <c r="B25" t="s">
        <v>162</v>
      </c>
      <c r="C25" s="1">
        <v>45359</v>
      </c>
      <c r="D25" s="1">
        <v>45387</v>
      </c>
      <c r="F25" t="s">
        <v>140</v>
      </c>
      <c r="H25" t="s">
        <v>38</v>
      </c>
      <c r="J25" t="s">
        <v>123</v>
      </c>
      <c r="K25" t="s">
        <v>124</v>
      </c>
      <c r="L25" t="s">
        <v>125</v>
      </c>
      <c r="M25" t="s">
        <v>42</v>
      </c>
      <c r="N25" s="1">
        <v>45330</v>
      </c>
      <c r="P25" t="s">
        <v>163</v>
      </c>
      <c r="Q25" t="s">
        <v>44</v>
      </c>
      <c r="R25" t="s">
        <v>164</v>
      </c>
      <c r="S25" t="s">
        <v>165</v>
      </c>
      <c r="T25" t="s">
        <v>129</v>
      </c>
      <c r="V25" t="s">
        <v>48</v>
      </c>
      <c r="W25" t="s">
        <v>129</v>
      </c>
      <c r="X25" t="s">
        <v>49</v>
      </c>
      <c r="Y25" t="s">
        <v>49</v>
      </c>
      <c r="Z25" t="s">
        <v>83</v>
      </c>
      <c r="AA25" t="s">
        <v>84</v>
      </c>
      <c r="AB25" t="s">
        <v>166</v>
      </c>
      <c r="AC25" t="s">
        <v>78</v>
      </c>
      <c r="AD25" t="s">
        <v>54</v>
      </c>
      <c r="AE25" t="s">
        <v>55</v>
      </c>
      <c r="AF25" t="s">
        <v>130</v>
      </c>
      <c r="AG25" t="s">
        <v>57</v>
      </c>
      <c r="AH25">
        <v>310</v>
      </c>
      <c r="AI25" t="s">
        <v>131</v>
      </c>
    </row>
    <row r="26" spans="1:35" x14ac:dyDescent="0.35">
      <c r="A26" t="s">
        <v>121</v>
      </c>
      <c r="B26" t="s">
        <v>167</v>
      </c>
      <c r="C26" s="1">
        <v>45359</v>
      </c>
      <c r="D26" s="1">
        <v>45351</v>
      </c>
      <c r="F26" t="s">
        <v>37</v>
      </c>
      <c r="H26" t="s">
        <v>38</v>
      </c>
      <c r="J26" t="s">
        <v>123</v>
      </c>
      <c r="K26" t="s">
        <v>124</v>
      </c>
      <c r="L26" t="s">
        <v>125</v>
      </c>
      <c r="M26" t="s">
        <v>42</v>
      </c>
      <c r="N26" s="1">
        <v>45330</v>
      </c>
      <c r="P26" t="s">
        <v>168</v>
      </c>
      <c r="Q26" t="s">
        <v>44</v>
      </c>
      <c r="R26" t="s">
        <v>169</v>
      </c>
      <c r="S26" t="s">
        <v>170</v>
      </c>
      <c r="T26" t="s">
        <v>129</v>
      </c>
      <c r="V26" t="s">
        <v>48</v>
      </c>
      <c r="W26" t="s">
        <v>129</v>
      </c>
      <c r="X26" t="s">
        <v>49</v>
      </c>
      <c r="Y26" t="s">
        <v>49</v>
      </c>
      <c r="Z26" t="s">
        <v>171</v>
      </c>
      <c r="AA26" t="s">
        <v>172</v>
      </c>
      <c r="AB26" t="s">
        <v>173</v>
      </c>
      <c r="AC26" t="s">
        <v>53</v>
      </c>
      <c r="AD26" t="s">
        <v>54</v>
      </c>
      <c r="AE26" t="s">
        <v>55</v>
      </c>
      <c r="AF26" t="s">
        <v>130</v>
      </c>
      <c r="AG26" t="s">
        <v>57</v>
      </c>
      <c r="AH26">
        <v>310</v>
      </c>
      <c r="AI26" t="s">
        <v>131</v>
      </c>
    </row>
    <row r="27" spans="1:35" x14ac:dyDescent="0.35">
      <c r="A27" t="s">
        <v>121</v>
      </c>
      <c r="B27" t="s">
        <v>174</v>
      </c>
      <c r="C27" s="1">
        <v>45359</v>
      </c>
      <c r="D27" s="1">
        <v>45358</v>
      </c>
      <c r="F27" t="s">
        <v>37</v>
      </c>
      <c r="H27" t="s">
        <v>38</v>
      </c>
      <c r="J27" t="s">
        <v>123</v>
      </c>
      <c r="K27" t="s">
        <v>124</v>
      </c>
      <c r="L27" t="s">
        <v>125</v>
      </c>
      <c r="M27" t="s">
        <v>42</v>
      </c>
      <c r="N27" s="1">
        <v>45330</v>
      </c>
      <c r="P27" t="s">
        <v>175</v>
      </c>
      <c r="Q27" t="s">
        <v>44</v>
      </c>
      <c r="R27" t="s">
        <v>176</v>
      </c>
      <c r="S27" t="s">
        <v>177</v>
      </c>
      <c r="T27" t="s">
        <v>129</v>
      </c>
      <c r="V27" t="s">
        <v>48</v>
      </c>
      <c r="W27" t="s">
        <v>129</v>
      </c>
      <c r="X27" t="s">
        <v>49</v>
      </c>
      <c r="Y27" t="s">
        <v>49</v>
      </c>
      <c r="Z27" t="s">
        <v>76</v>
      </c>
      <c r="AA27" t="s">
        <v>178</v>
      </c>
      <c r="AB27" t="s">
        <v>179</v>
      </c>
      <c r="AC27" t="s">
        <v>67</v>
      </c>
      <c r="AD27" t="s">
        <v>54</v>
      </c>
      <c r="AE27" t="s">
        <v>55</v>
      </c>
      <c r="AF27" t="s">
        <v>130</v>
      </c>
      <c r="AG27" t="s">
        <v>57</v>
      </c>
      <c r="AH27">
        <v>310</v>
      </c>
      <c r="AI27" t="s">
        <v>131</v>
      </c>
    </row>
    <row r="28" spans="1:35" x14ac:dyDescent="0.35">
      <c r="A28" t="s">
        <v>121</v>
      </c>
      <c r="B28" t="s">
        <v>180</v>
      </c>
      <c r="C28" s="1">
        <v>45359</v>
      </c>
      <c r="D28" s="1">
        <v>45351</v>
      </c>
      <c r="F28" t="s">
        <v>37</v>
      </c>
      <c r="H28" t="s">
        <v>38</v>
      </c>
      <c r="J28" t="s">
        <v>123</v>
      </c>
      <c r="K28" t="s">
        <v>124</v>
      </c>
      <c r="L28" t="s">
        <v>125</v>
      </c>
      <c r="M28" t="s">
        <v>42</v>
      </c>
      <c r="N28" s="1">
        <v>45330</v>
      </c>
      <c r="P28" t="s">
        <v>181</v>
      </c>
      <c r="Q28" t="s">
        <v>44</v>
      </c>
      <c r="R28" t="s">
        <v>182</v>
      </c>
      <c r="S28" t="s">
        <v>183</v>
      </c>
      <c r="T28" t="s">
        <v>129</v>
      </c>
      <c r="V28" t="s">
        <v>48</v>
      </c>
      <c r="W28" t="s">
        <v>129</v>
      </c>
      <c r="X28" t="s">
        <v>49</v>
      </c>
      <c r="Y28" t="s">
        <v>49</v>
      </c>
      <c r="Z28" t="s">
        <v>184</v>
      </c>
      <c r="AA28" t="s">
        <v>185</v>
      </c>
      <c r="AB28" t="s">
        <v>186</v>
      </c>
      <c r="AC28" t="s">
        <v>78</v>
      </c>
      <c r="AD28" t="s">
        <v>54</v>
      </c>
      <c r="AE28" t="s">
        <v>55</v>
      </c>
      <c r="AF28" t="s">
        <v>130</v>
      </c>
      <c r="AG28" t="s">
        <v>57</v>
      </c>
      <c r="AH28">
        <v>310</v>
      </c>
      <c r="AI28" t="s">
        <v>131</v>
      </c>
    </row>
    <row r="29" spans="1:35" x14ac:dyDescent="0.35">
      <c r="A29" t="s">
        <v>121</v>
      </c>
      <c r="B29" t="s">
        <v>187</v>
      </c>
      <c r="C29" s="1">
        <v>45401</v>
      </c>
      <c r="D29" s="1">
        <v>45489</v>
      </c>
      <c r="F29" t="s">
        <v>140</v>
      </c>
      <c r="H29" t="s">
        <v>60</v>
      </c>
      <c r="J29" t="s">
        <v>123</v>
      </c>
      <c r="K29" t="s">
        <v>124</v>
      </c>
      <c r="L29" t="s">
        <v>125</v>
      </c>
      <c r="M29" t="s">
        <v>42</v>
      </c>
      <c r="N29" s="1">
        <v>45330</v>
      </c>
      <c r="P29" t="s">
        <v>188</v>
      </c>
      <c r="Q29" t="s">
        <v>44</v>
      </c>
      <c r="R29" t="s">
        <v>189</v>
      </c>
      <c r="S29" t="s">
        <v>190</v>
      </c>
      <c r="T29" t="s">
        <v>129</v>
      </c>
      <c r="V29" t="s">
        <v>48</v>
      </c>
      <c r="W29" t="s">
        <v>129</v>
      </c>
      <c r="X29" t="s">
        <v>49</v>
      </c>
      <c r="Y29" t="s">
        <v>49</v>
      </c>
      <c r="Z29" t="s">
        <v>83</v>
      </c>
      <c r="AA29" t="s">
        <v>99</v>
      </c>
      <c r="AB29" t="s">
        <v>52</v>
      </c>
      <c r="AC29" t="s">
        <v>78</v>
      </c>
      <c r="AD29" t="s">
        <v>54</v>
      </c>
      <c r="AE29" t="s">
        <v>55</v>
      </c>
      <c r="AF29" t="s">
        <v>130</v>
      </c>
      <c r="AG29" t="s">
        <v>57</v>
      </c>
      <c r="AH29">
        <v>310</v>
      </c>
      <c r="AI29" t="s">
        <v>131</v>
      </c>
    </row>
    <row r="30" spans="1:35" x14ac:dyDescent="0.35">
      <c r="A30" t="s">
        <v>121</v>
      </c>
      <c r="B30" t="s">
        <v>187</v>
      </c>
      <c r="C30" s="1">
        <v>45401</v>
      </c>
      <c r="D30" s="1">
        <v>45489</v>
      </c>
      <c r="F30" t="s">
        <v>140</v>
      </c>
      <c r="H30" t="s">
        <v>60</v>
      </c>
      <c r="J30" t="s">
        <v>123</v>
      </c>
      <c r="K30" t="s">
        <v>124</v>
      </c>
      <c r="L30" t="s">
        <v>125</v>
      </c>
      <c r="M30" t="s">
        <v>42</v>
      </c>
      <c r="N30" s="1">
        <v>45330</v>
      </c>
      <c r="P30" t="s">
        <v>188</v>
      </c>
      <c r="Q30" t="s">
        <v>44</v>
      </c>
      <c r="R30" t="s">
        <v>191</v>
      </c>
      <c r="S30" t="s">
        <v>192</v>
      </c>
      <c r="T30" t="s">
        <v>129</v>
      </c>
      <c r="V30" t="s">
        <v>48</v>
      </c>
      <c r="W30" t="s">
        <v>129</v>
      </c>
      <c r="X30" t="s">
        <v>49</v>
      </c>
      <c r="Y30" t="s">
        <v>49</v>
      </c>
      <c r="Z30" t="s">
        <v>83</v>
      </c>
      <c r="AA30" t="s">
        <v>99</v>
      </c>
      <c r="AB30" t="s">
        <v>52</v>
      </c>
      <c r="AC30" t="s">
        <v>78</v>
      </c>
      <c r="AD30" t="s">
        <v>54</v>
      </c>
      <c r="AE30" t="s">
        <v>55</v>
      </c>
      <c r="AF30" t="s">
        <v>130</v>
      </c>
      <c r="AG30" t="s">
        <v>57</v>
      </c>
      <c r="AH30">
        <v>310</v>
      </c>
      <c r="AI30" t="s">
        <v>131</v>
      </c>
    </row>
    <row r="31" spans="1:35" x14ac:dyDescent="0.35">
      <c r="A31" t="s">
        <v>121</v>
      </c>
      <c r="B31" t="s">
        <v>187</v>
      </c>
      <c r="C31" s="1">
        <v>45401</v>
      </c>
      <c r="D31" s="1">
        <v>45489</v>
      </c>
      <c r="F31" t="s">
        <v>140</v>
      </c>
      <c r="H31" t="s">
        <v>60</v>
      </c>
      <c r="J31" t="s">
        <v>123</v>
      </c>
      <c r="K31" t="s">
        <v>124</v>
      </c>
      <c r="L31" t="s">
        <v>125</v>
      </c>
      <c r="M31" t="s">
        <v>42</v>
      </c>
      <c r="N31" s="1">
        <v>45330</v>
      </c>
      <c r="P31" t="s">
        <v>188</v>
      </c>
      <c r="Q31" t="s">
        <v>44</v>
      </c>
      <c r="R31" t="s">
        <v>193</v>
      </c>
      <c r="S31" t="s">
        <v>194</v>
      </c>
      <c r="T31" t="s">
        <v>129</v>
      </c>
      <c r="V31" t="s">
        <v>48</v>
      </c>
      <c r="W31" t="s">
        <v>129</v>
      </c>
      <c r="X31" t="s">
        <v>49</v>
      </c>
      <c r="Y31" t="s">
        <v>49</v>
      </c>
      <c r="Z31" t="s">
        <v>83</v>
      </c>
      <c r="AA31" t="s">
        <v>99</v>
      </c>
      <c r="AB31" t="s">
        <v>52</v>
      </c>
      <c r="AC31" t="s">
        <v>78</v>
      </c>
      <c r="AD31" t="s">
        <v>54</v>
      </c>
      <c r="AE31" t="s">
        <v>55</v>
      </c>
      <c r="AF31" t="s">
        <v>130</v>
      </c>
      <c r="AG31" t="s">
        <v>57</v>
      </c>
      <c r="AH31">
        <v>310</v>
      </c>
      <c r="AI31" t="s">
        <v>131</v>
      </c>
    </row>
    <row r="32" spans="1:35" x14ac:dyDescent="0.35">
      <c r="A32">
        <v>2216875</v>
      </c>
      <c r="B32">
        <v>2222262</v>
      </c>
      <c r="C32" s="1">
        <v>45076</v>
      </c>
      <c r="D32" s="1">
        <v>45072</v>
      </c>
      <c r="F32" t="s">
        <v>37</v>
      </c>
      <c r="G32" s="1">
        <v>45072.644444444442</v>
      </c>
      <c r="H32" t="s">
        <v>38</v>
      </c>
      <c r="I32" t="s">
        <v>195</v>
      </c>
      <c r="J32" t="s">
        <v>196</v>
      </c>
      <c r="K32" t="s">
        <v>197</v>
      </c>
      <c r="L32" t="s">
        <v>198</v>
      </c>
      <c r="M32" t="s">
        <v>42</v>
      </c>
      <c r="N32" s="1">
        <v>44986.343055555553</v>
      </c>
      <c r="O32" s="1">
        <v>45016.642361111109</v>
      </c>
      <c r="P32" s="2" t="s">
        <v>199</v>
      </c>
      <c r="Q32" s="2" t="s">
        <v>200</v>
      </c>
      <c r="V32" t="s">
        <v>48</v>
      </c>
      <c r="W32" t="s">
        <v>201</v>
      </c>
      <c r="X32" t="s">
        <v>49</v>
      </c>
      <c r="Y32" t="s">
        <v>49</v>
      </c>
      <c r="Z32" t="s">
        <v>83</v>
      </c>
      <c r="AA32" t="s">
        <v>99</v>
      </c>
      <c r="AB32" t="s">
        <v>202</v>
      </c>
      <c r="AC32" t="s">
        <v>203</v>
      </c>
      <c r="AD32" t="s">
        <v>54</v>
      </c>
      <c r="AE32" t="s">
        <v>55</v>
      </c>
      <c r="AF32" t="s">
        <v>204</v>
      </c>
      <c r="AG32" t="s">
        <v>57</v>
      </c>
      <c r="AH32">
        <v>310</v>
      </c>
      <c r="AI32" t="s">
        <v>131</v>
      </c>
    </row>
    <row r="33" spans="1:35" x14ac:dyDescent="0.35">
      <c r="A33">
        <v>2216875</v>
      </c>
      <c r="B33">
        <v>2222262</v>
      </c>
      <c r="C33" s="1">
        <v>45076</v>
      </c>
      <c r="D33" s="1">
        <v>45072</v>
      </c>
      <c r="F33" t="s">
        <v>37</v>
      </c>
      <c r="G33" s="1">
        <v>45072.644444444442</v>
      </c>
      <c r="H33" t="s">
        <v>38</v>
      </c>
      <c r="I33" t="s">
        <v>195</v>
      </c>
      <c r="J33" t="s">
        <v>196</v>
      </c>
      <c r="K33" t="s">
        <v>197</v>
      </c>
      <c r="L33" t="s">
        <v>198</v>
      </c>
      <c r="M33" t="s">
        <v>42</v>
      </c>
      <c r="N33" s="1">
        <v>44986.343055555553</v>
      </c>
      <c r="O33" s="1">
        <v>45016.642361111109</v>
      </c>
      <c r="P33" s="2" t="s">
        <v>199</v>
      </c>
      <c r="Q33" s="2" t="s">
        <v>200</v>
      </c>
      <c r="V33" t="s">
        <v>48</v>
      </c>
      <c r="W33" t="s">
        <v>201</v>
      </c>
      <c r="X33" t="s">
        <v>49</v>
      </c>
      <c r="Y33" t="s">
        <v>49</v>
      </c>
      <c r="Z33" t="s">
        <v>83</v>
      </c>
      <c r="AA33" t="s">
        <v>99</v>
      </c>
      <c r="AB33" t="s">
        <v>202</v>
      </c>
      <c r="AC33" t="s">
        <v>205</v>
      </c>
      <c r="AD33" t="s">
        <v>54</v>
      </c>
      <c r="AE33" t="s">
        <v>55</v>
      </c>
      <c r="AF33" t="s">
        <v>204</v>
      </c>
      <c r="AG33" t="s">
        <v>57</v>
      </c>
      <c r="AH33">
        <v>310</v>
      </c>
      <c r="AI33" t="s">
        <v>131</v>
      </c>
    </row>
    <row r="34" spans="1:35" x14ac:dyDescent="0.35">
      <c r="A34">
        <v>2216875</v>
      </c>
      <c r="B34">
        <v>2222265</v>
      </c>
      <c r="C34" s="1">
        <v>45112</v>
      </c>
      <c r="D34" s="1">
        <v>45107</v>
      </c>
      <c r="F34" t="s">
        <v>37</v>
      </c>
      <c r="G34" s="1">
        <v>45107.613888888889</v>
      </c>
      <c r="H34" t="s">
        <v>38</v>
      </c>
      <c r="I34" t="s">
        <v>195</v>
      </c>
      <c r="J34" t="s">
        <v>196</v>
      </c>
      <c r="K34" t="s">
        <v>197</v>
      </c>
      <c r="L34" t="s">
        <v>198</v>
      </c>
      <c r="M34" t="s">
        <v>42</v>
      </c>
      <c r="N34" s="1">
        <v>44986.343055555553</v>
      </c>
      <c r="O34" s="1">
        <v>45016.642361111109</v>
      </c>
      <c r="P34" s="2" t="s">
        <v>206</v>
      </c>
      <c r="Q34" s="2" t="s">
        <v>207</v>
      </c>
      <c r="V34" t="s">
        <v>48</v>
      </c>
      <c r="W34" t="s">
        <v>201</v>
      </c>
      <c r="X34" t="s">
        <v>49</v>
      </c>
      <c r="Y34" t="s">
        <v>49</v>
      </c>
      <c r="Z34" t="s">
        <v>110</v>
      </c>
      <c r="AA34" t="s">
        <v>111</v>
      </c>
      <c r="AB34" t="s">
        <v>208</v>
      </c>
      <c r="AC34" t="s">
        <v>209</v>
      </c>
      <c r="AD34" t="s">
        <v>54</v>
      </c>
      <c r="AE34" t="s">
        <v>55</v>
      </c>
      <c r="AF34" t="s">
        <v>204</v>
      </c>
      <c r="AG34" t="s">
        <v>57</v>
      </c>
      <c r="AH34">
        <v>310</v>
      </c>
      <c r="AI34" t="s">
        <v>131</v>
      </c>
    </row>
    <row r="35" spans="1:35" x14ac:dyDescent="0.35">
      <c r="A35">
        <v>2216875</v>
      </c>
      <c r="B35">
        <v>2222264</v>
      </c>
      <c r="C35" s="1">
        <v>45076</v>
      </c>
      <c r="D35" s="1">
        <v>45072</v>
      </c>
      <c r="F35" t="s">
        <v>37</v>
      </c>
      <c r="G35" s="1">
        <v>45384.109837962962</v>
      </c>
      <c r="H35" t="s">
        <v>60</v>
      </c>
      <c r="I35" t="s">
        <v>210</v>
      </c>
      <c r="J35" t="s">
        <v>196</v>
      </c>
      <c r="K35" t="s">
        <v>197</v>
      </c>
      <c r="L35" t="s">
        <v>198</v>
      </c>
      <c r="M35" t="s">
        <v>42</v>
      </c>
      <c r="N35" s="1">
        <v>44986.343055555553</v>
      </c>
      <c r="O35" s="1">
        <v>45016.642361111109</v>
      </c>
      <c r="P35" s="2" t="s">
        <v>211</v>
      </c>
      <c r="Q35" s="2" t="s">
        <v>212</v>
      </c>
      <c r="V35" t="s">
        <v>48</v>
      </c>
      <c r="W35" t="s">
        <v>201</v>
      </c>
      <c r="X35" t="s">
        <v>49</v>
      </c>
      <c r="Y35" t="s">
        <v>49</v>
      </c>
      <c r="Z35" t="s">
        <v>64</v>
      </c>
      <c r="AA35" t="s">
        <v>65</v>
      </c>
      <c r="AB35" t="s">
        <v>213</v>
      </c>
      <c r="AC35" t="s">
        <v>203</v>
      </c>
      <c r="AD35" t="s">
        <v>54</v>
      </c>
      <c r="AE35" t="s">
        <v>55</v>
      </c>
      <c r="AF35" t="s">
        <v>204</v>
      </c>
      <c r="AG35" t="s">
        <v>57</v>
      </c>
      <c r="AH35">
        <v>310</v>
      </c>
      <c r="AI35" t="s">
        <v>131</v>
      </c>
    </row>
    <row r="36" spans="1:35" x14ac:dyDescent="0.35">
      <c r="A36">
        <v>2216875</v>
      </c>
      <c r="B36">
        <v>2222264</v>
      </c>
      <c r="C36" s="1">
        <v>45076</v>
      </c>
      <c r="D36" s="1">
        <v>45072</v>
      </c>
      <c r="F36" t="s">
        <v>37</v>
      </c>
      <c r="G36" s="1">
        <v>45384.109837962962</v>
      </c>
      <c r="H36" t="s">
        <v>60</v>
      </c>
      <c r="I36" t="s">
        <v>210</v>
      </c>
      <c r="J36" t="s">
        <v>196</v>
      </c>
      <c r="K36" t="s">
        <v>197</v>
      </c>
      <c r="L36" t="s">
        <v>198</v>
      </c>
      <c r="M36" t="s">
        <v>42</v>
      </c>
      <c r="N36" s="1">
        <v>44986.343055555553</v>
      </c>
      <c r="O36" s="1">
        <v>45016.642361111109</v>
      </c>
      <c r="P36" s="2" t="s">
        <v>211</v>
      </c>
      <c r="Q36" s="2" t="s">
        <v>212</v>
      </c>
      <c r="V36" t="s">
        <v>48</v>
      </c>
      <c r="W36" t="s">
        <v>201</v>
      </c>
      <c r="X36" t="s">
        <v>49</v>
      </c>
      <c r="Y36" t="s">
        <v>49</v>
      </c>
      <c r="Z36" t="s">
        <v>64</v>
      </c>
      <c r="AA36" t="s">
        <v>65</v>
      </c>
      <c r="AB36" t="s">
        <v>213</v>
      </c>
      <c r="AC36" t="s">
        <v>205</v>
      </c>
      <c r="AD36" t="s">
        <v>54</v>
      </c>
      <c r="AE36" t="s">
        <v>55</v>
      </c>
      <c r="AF36" t="s">
        <v>204</v>
      </c>
      <c r="AG36" t="s">
        <v>57</v>
      </c>
      <c r="AH36">
        <v>310</v>
      </c>
      <c r="AI36" t="s">
        <v>131</v>
      </c>
    </row>
    <row r="37" spans="1:35" x14ac:dyDescent="0.35">
      <c r="A37" t="s">
        <v>214</v>
      </c>
      <c r="B37" t="s">
        <v>215</v>
      </c>
      <c r="C37" s="1">
        <v>45322</v>
      </c>
      <c r="D37" s="1">
        <v>45330</v>
      </c>
      <c r="F37" t="s">
        <v>140</v>
      </c>
      <c r="H37" t="s">
        <v>60</v>
      </c>
      <c r="J37" t="s">
        <v>216</v>
      </c>
      <c r="K37" t="s">
        <v>217</v>
      </c>
      <c r="L37" t="s">
        <v>218</v>
      </c>
      <c r="M37" t="s">
        <v>42</v>
      </c>
      <c r="N37" s="1">
        <v>45238</v>
      </c>
      <c r="P37" t="s">
        <v>219</v>
      </c>
      <c r="Q37" t="s">
        <v>44</v>
      </c>
      <c r="R37" t="s">
        <v>220</v>
      </c>
      <c r="S37" t="s">
        <v>221</v>
      </c>
      <c r="T37" t="s">
        <v>129</v>
      </c>
      <c r="V37" t="s">
        <v>48</v>
      </c>
      <c r="W37" t="s">
        <v>129</v>
      </c>
      <c r="X37" t="s">
        <v>49</v>
      </c>
      <c r="Y37" t="s">
        <v>49</v>
      </c>
      <c r="Z37" t="s">
        <v>76</v>
      </c>
      <c r="AA37" t="s">
        <v>222</v>
      </c>
      <c r="AB37" t="s">
        <v>223</v>
      </c>
      <c r="AC37" t="s">
        <v>78</v>
      </c>
      <c r="AD37" t="s">
        <v>54</v>
      </c>
      <c r="AE37" t="s">
        <v>55</v>
      </c>
      <c r="AF37" t="s">
        <v>224</v>
      </c>
      <c r="AG37" t="s">
        <v>57</v>
      </c>
      <c r="AH37">
        <v>310</v>
      </c>
      <c r="AI37" t="s">
        <v>131</v>
      </c>
    </row>
    <row r="38" spans="1:35" x14ac:dyDescent="0.35">
      <c r="A38" t="s">
        <v>214</v>
      </c>
      <c r="B38" t="s">
        <v>215</v>
      </c>
      <c r="C38" s="1">
        <v>45322</v>
      </c>
      <c r="D38" s="1">
        <v>45330</v>
      </c>
      <c r="F38" t="s">
        <v>140</v>
      </c>
      <c r="H38" t="s">
        <v>60</v>
      </c>
      <c r="J38" t="s">
        <v>216</v>
      </c>
      <c r="K38" t="s">
        <v>217</v>
      </c>
      <c r="L38" t="s">
        <v>218</v>
      </c>
      <c r="M38" t="s">
        <v>42</v>
      </c>
      <c r="N38" s="1">
        <v>45238</v>
      </c>
      <c r="P38" t="s">
        <v>219</v>
      </c>
      <c r="Q38" t="s">
        <v>44</v>
      </c>
      <c r="R38" t="s">
        <v>225</v>
      </c>
      <c r="S38" t="s">
        <v>226</v>
      </c>
      <c r="T38" t="s">
        <v>129</v>
      </c>
      <c r="V38" t="s">
        <v>48</v>
      </c>
      <c r="W38" t="s">
        <v>129</v>
      </c>
      <c r="X38" t="s">
        <v>49</v>
      </c>
      <c r="Y38" t="s">
        <v>49</v>
      </c>
      <c r="Z38" t="s">
        <v>76</v>
      </c>
      <c r="AA38" t="s">
        <v>222</v>
      </c>
      <c r="AB38" t="s">
        <v>223</v>
      </c>
      <c r="AC38" t="s">
        <v>78</v>
      </c>
      <c r="AD38" t="s">
        <v>54</v>
      </c>
      <c r="AE38" t="s">
        <v>55</v>
      </c>
      <c r="AF38" t="s">
        <v>224</v>
      </c>
      <c r="AG38" t="s">
        <v>57</v>
      </c>
      <c r="AH38">
        <v>310</v>
      </c>
      <c r="AI38" t="s">
        <v>131</v>
      </c>
    </row>
    <row r="39" spans="1:35" x14ac:dyDescent="0.35">
      <c r="A39" t="s">
        <v>214</v>
      </c>
      <c r="B39" t="s">
        <v>215</v>
      </c>
      <c r="C39" s="1">
        <v>45322</v>
      </c>
      <c r="D39" s="1">
        <v>45330</v>
      </c>
      <c r="F39" t="s">
        <v>140</v>
      </c>
      <c r="H39" t="s">
        <v>60</v>
      </c>
      <c r="J39" t="s">
        <v>216</v>
      </c>
      <c r="K39" t="s">
        <v>217</v>
      </c>
      <c r="L39" t="s">
        <v>218</v>
      </c>
      <c r="M39" t="s">
        <v>42</v>
      </c>
      <c r="N39" s="1">
        <v>45238</v>
      </c>
      <c r="P39" t="s">
        <v>219</v>
      </c>
      <c r="Q39" t="s">
        <v>44</v>
      </c>
      <c r="R39" t="s">
        <v>227</v>
      </c>
      <c r="S39" t="s">
        <v>228</v>
      </c>
      <c r="T39" t="s">
        <v>129</v>
      </c>
      <c r="V39" t="s">
        <v>48</v>
      </c>
      <c r="W39" t="s">
        <v>129</v>
      </c>
      <c r="X39" t="s">
        <v>49</v>
      </c>
      <c r="Y39" t="s">
        <v>49</v>
      </c>
      <c r="Z39" t="s">
        <v>76</v>
      </c>
      <c r="AA39" t="s">
        <v>222</v>
      </c>
      <c r="AB39" t="s">
        <v>223</v>
      </c>
      <c r="AC39" t="s">
        <v>78</v>
      </c>
      <c r="AD39" t="s">
        <v>54</v>
      </c>
      <c r="AE39" t="s">
        <v>55</v>
      </c>
      <c r="AF39" t="s">
        <v>224</v>
      </c>
      <c r="AG39" t="s">
        <v>57</v>
      </c>
      <c r="AH39">
        <v>310</v>
      </c>
      <c r="AI39" t="s">
        <v>131</v>
      </c>
    </row>
    <row r="40" spans="1:35" x14ac:dyDescent="0.35">
      <c r="A40" t="s">
        <v>214</v>
      </c>
      <c r="B40" t="s">
        <v>229</v>
      </c>
      <c r="C40" s="1">
        <v>45321</v>
      </c>
      <c r="D40" s="1">
        <v>45330</v>
      </c>
      <c r="F40" t="s">
        <v>140</v>
      </c>
      <c r="H40" t="s">
        <v>60</v>
      </c>
      <c r="J40" t="s">
        <v>216</v>
      </c>
      <c r="K40" t="s">
        <v>217</v>
      </c>
      <c r="L40" t="s">
        <v>218</v>
      </c>
      <c r="M40" t="s">
        <v>42</v>
      </c>
      <c r="N40" s="1">
        <v>45238</v>
      </c>
      <c r="P40" t="s">
        <v>230</v>
      </c>
      <c r="Q40" t="s">
        <v>44</v>
      </c>
      <c r="R40" t="s">
        <v>231</v>
      </c>
      <c r="S40" t="s">
        <v>232</v>
      </c>
      <c r="T40" t="s">
        <v>129</v>
      </c>
      <c r="V40" t="s">
        <v>48</v>
      </c>
      <c r="W40" t="s">
        <v>129</v>
      </c>
      <c r="X40" t="s">
        <v>49</v>
      </c>
      <c r="Y40" t="s">
        <v>49</v>
      </c>
      <c r="Z40" t="s">
        <v>83</v>
      </c>
      <c r="AA40" t="s">
        <v>99</v>
      </c>
      <c r="AB40" t="s">
        <v>223</v>
      </c>
      <c r="AC40" t="s">
        <v>78</v>
      </c>
      <c r="AD40" t="s">
        <v>54</v>
      </c>
      <c r="AE40" t="s">
        <v>55</v>
      </c>
      <c r="AF40" t="s">
        <v>224</v>
      </c>
      <c r="AG40" t="s">
        <v>57</v>
      </c>
      <c r="AH40">
        <v>310</v>
      </c>
      <c r="AI40" t="s">
        <v>131</v>
      </c>
    </row>
    <row r="41" spans="1:35" x14ac:dyDescent="0.35">
      <c r="A41" t="s">
        <v>214</v>
      </c>
      <c r="B41" t="s">
        <v>229</v>
      </c>
      <c r="C41" s="1">
        <v>45321</v>
      </c>
      <c r="D41" s="1">
        <v>45330</v>
      </c>
      <c r="F41" t="s">
        <v>140</v>
      </c>
      <c r="H41" t="s">
        <v>60</v>
      </c>
      <c r="J41" t="s">
        <v>216</v>
      </c>
      <c r="K41" t="s">
        <v>217</v>
      </c>
      <c r="L41" t="s">
        <v>218</v>
      </c>
      <c r="M41" t="s">
        <v>42</v>
      </c>
      <c r="N41" s="1">
        <v>45238</v>
      </c>
      <c r="P41" t="s">
        <v>230</v>
      </c>
      <c r="Q41" t="s">
        <v>44</v>
      </c>
      <c r="R41" t="s">
        <v>233</v>
      </c>
      <c r="S41" t="s">
        <v>234</v>
      </c>
      <c r="T41" t="s">
        <v>129</v>
      </c>
      <c r="V41" t="s">
        <v>48</v>
      </c>
      <c r="W41" t="s">
        <v>129</v>
      </c>
      <c r="X41" t="s">
        <v>49</v>
      </c>
      <c r="Y41" t="s">
        <v>49</v>
      </c>
      <c r="Z41" t="s">
        <v>83</v>
      </c>
      <c r="AA41" t="s">
        <v>99</v>
      </c>
      <c r="AB41" t="s">
        <v>223</v>
      </c>
      <c r="AC41" t="s">
        <v>78</v>
      </c>
      <c r="AD41" t="s">
        <v>54</v>
      </c>
      <c r="AE41" t="s">
        <v>55</v>
      </c>
      <c r="AF41" t="s">
        <v>224</v>
      </c>
      <c r="AG41" t="s">
        <v>57</v>
      </c>
      <c r="AH41">
        <v>310</v>
      </c>
      <c r="AI41" t="s">
        <v>131</v>
      </c>
    </row>
    <row r="42" spans="1:35" x14ac:dyDescent="0.35">
      <c r="A42" t="s">
        <v>214</v>
      </c>
      <c r="B42" t="s">
        <v>229</v>
      </c>
      <c r="C42" s="1">
        <v>45321</v>
      </c>
      <c r="D42" s="1">
        <v>45330</v>
      </c>
      <c r="F42" t="s">
        <v>140</v>
      </c>
      <c r="H42" t="s">
        <v>60</v>
      </c>
      <c r="J42" t="s">
        <v>216</v>
      </c>
      <c r="K42" t="s">
        <v>217</v>
      </c>
      <c r="L42" t="s">
        <v>218</v>
      </c>
      <c r="M42" t="s">
        <v>42</v>
      </c>
      <c r="N42" s="1">
        <v>45238</v>
      </c>
      <c r="P42" t="s">
        <v>230</v>
      </c>
      <c r="Q42" t="s">
        <v>44</v>
      </c>
      <c r="R42" t="s">
        <v>235</v>
      </c>
      <c r="S42" t="s">
        <v>236</v>
      </c>
      <c r="T42" t="s">
        <v>129</v>
      </c>
      <c r="V42" t="s">
        <v>48</v>
      </c>
      <c r="W42" t="s">
        <v>129</v>
      </c>
      <c r="X42" t="s">
        <v>49</v>
      </c>
      <c r="Y42" t="s">
        <v>49</v>
      </c>
      <c r="Z42" t="s">
        <v>83</v>
      </c>
      <c r="AA42" t="s">
        <v>99</v>
      </c>
      <c r="AB42" t="s">
        <v>223</v>
      </c>
      <c r="AC42" t="s">
        <v>78</v>
      </c>
      <c r="AD42" t="s">
        <v>54</v>
      </c>
      <c r="AE42" t="s">
        <v>55</v>
      </c>
      <c r="AF42" t="s">
        <v>224</v>
      </c>
      <c r="AG42" t="s">
        <v>57</v>
      </c>
      <c r="AH42">
        <v>310</v>
      </c>
      <c r="AI42" t="s">
        <v>131</v>
      </c>
    </row>
    <row r="43" spans="1:35" x14ac:dyDescent="0.35">
      <c r="A43" t="s">
        <v>214</v>
      </c>
      <c r="B43" t="s">
        <v>237</v>
      </c>
      <c r="C43" s="1">
        <v>45383</v>
      </c>
      <c r="D43" s="1">
        <v>45358</v>
      </c>
      <c r="F43" t="s">
        <v>37</v>
      </c>
      <c r="H43" t="s">
        <v>60</v>
      </c>
      <c r="J43" t="s">
        <v>216</v>
      </c>
      <c r="K43" t="s">
        <v>217</v>
      </c>
      <c r="L43" t="s">
        <v>218</v>
      </c>
      <c r="M43" t="s">
        <v>42</v>
      </c>
      <c r="N43" s="1">
        <v>45238</v>
      </c>
      <c r="P43" t="s">
        <v>238</v>
      </c>
      <c r="Q43" t="s">
        <v>44</v>
      </c>
      <c r="R43" t="s">
        <v>239</v>
      </c>
      <c r="S43" t="s">
        <v>240</v>
      </c>
      <c r="T43" t="s">
        <v>129</v>
      </c>
      <c r="V43" t="s">
        <v>48</v>
      </c>
      <c r="W43" t="s">
        <v>129</v>
      </c>
      <c r="X43" t="s">
        <v>49</v>
      </c>
      <c r="Y43" t="s">
        <v>49</v>
      </c>
      <c r="Z43" t="s">
        <v>110</v>
      </c>
      <c r="AA43" t="s">
        <v>111</v>
      </c>
      <c r="AB43" t="s">
        <v>223</v>
      </c>
      <c r="AC43" t="s">
        <v>53</v>
      </c>
      <c r="AD43" t="s">
        <v>54</v>
      </c>
      <c r="AE43" t="s">
        <v>55</v>
      </c>
      <c r="AF43" t="s">
        <v>224</v>
      </c>
      <c r="AG43" t="s">
        <v>57</v>
      </c>
      <c r="AH43">
        <v>310</v>
      </c>
      <c r="AI43" t="s">
        <v>131</v>
      </c>
    </row>
    <row r="44" spans="1:35" x14ac:dyDescent="0.35">
      <c r="A44" t="s">
        <v>214</v>
      </c>
      <c r="B44" t="s">
        <v>237</v>
      </c>
      <c r="C44" s="1">
        <v>45383</v>
      </c>
      <c r="D44" s="1">
        <v>45358</v>
      </c>
      <c r="F44" t="s">
        <v>37</v>
      </c>
      <c r="H44" t="s">
        <v>60</v>
      </c>
      <c r="J44" t="s">
        <v>216</v>
      </c>
      <c r="K44" t="s">
        <v>217</v>
      </c>
      <c r="L44" t="s">
        <v>218</v>
      </c>
      <c r="M44" t="s">
        <v>42</v>
      </c>
      <c r="N44" s="1">
        <v>45238</v>
      </c>
      <c r="P44" t="s">
        <v>238</v>
      </c>
      <c r="Q44" t="s">
        <v>44</v>
      </c>
      <c r="R44" t="s">
        <v>241</v>
      </c>
      <c r="S44" t="s">
        <v>242</v>
      </c>
      <c r="T44" t="s">
        <v>129</v>
      </c>
      <c r="V44" t="s">
        <v>48</v>
      </c>
      <c r="W44" t="s">
        <v>129</v>
      </c>
      <c r="X44" t="s">
        <v>49</v>
      </c>
      <c r="Y44" t="s">
        <v>49</v>
      </c>
      <c r="Z44" t="s">
        <v>110</v>
      </c>
      <c r="AA44" t="s">
        <v>111</v>
      </c>
      <c r="AB44" t="s">
        <v>223</v>
      </c>
      <c r="AC44" t="s">
        <v>53</v>
      </c>
      <c r="AD44" t="s">
        <v>54</v>
      </c>
      <c r="AE44" t="s">
        <v>55</v>
      </c>
      <c r="AF44" t="s">
        <v>224</v>
      </c>
      <c r="AG44" t="s">
        <v>57</v>
      </c>
      <c r="AH44">
        <v>310</v>
      </c>
      <c r="AI44" t="s">
        <v>131</v>
      </c>
    </row>
    <row r="45" spans="1:35" x14ac:dyDescent="0.35">
      <c r="A45" t="s">
        <v>214</v>
      </c>
      <c r="B45" t="s">
        <v>237</v>
      </c>
      <c r="C45" s="1">
        <v>45383</v>
      </c>
      <c r="D45" s="1">
        <v>45358</v>
      </c>
      <c r="F45" t="s">
        <v>37</v>
      </c>
      <c r="H45" t="s">
        <v>60</v>
      </c>
      <c r="J45" t="s">
        <v>216</v>
      </c>
      <c r="K45" t="s">
        <v>217</v>
      </c>
      <c r="L45" t="s">
        <v>218</v>
      </c>
      <c r="M45" t="s">
        <v>42</v>
      </c>
      <c r="N45" s="1">
        <v>45238</v>
      </c>
      <c r="P45" t="s">
        <v>238</v>
      </c>
      <c r="Q45" t="s">
        <v>44</v>
      </c>
      <c r="R45" t="s">
        <v>243</v>
      </c>
      <c r="S45" t="s">
        <v>244</v>
      </c>
      <c r="T45" t="s">
        <v>129</v>
      </c>
      <c r="V45" t="s">
        <v>48</v>
      </c>
      <c r="W45" t="s">
        <v>129</v>
      </c>
      <c r="X45" t="s">
        <v>49</v>
      </c>
      <c r="Y45" t="s">
        <v>49</v>
      </c>
      <c r="Z45" t="s">
        <v>110</v>
      </c>
      <c r="AA45" t="s">
        <v>111</v>
      </c>
      <c r="AB45" t="s">
        <v>223</v>
      </c>
      <c r="AC45" t="s">
        <v>53</v>
      </c>
      <c r="AD45" t="s">
        <v>54</v>
      </c>
      <c r="AE45" t="s">
        <v>55</v>
      </c>
      <c r="AF45" t="s">
        <v>224</v>
      </c>
      <c r="AG45" t="s">
        <v>57</v>
      </c>
      <c r="AH45">
        <v>310</v>
      </c>
      <c r="AI45" t="s">
        <v>131</v>
      </c>
    </row>
    <row r="46" spans="1:35" x14ac:dyDescent="0.35">
      <c r="A46" t="s">
        <v>214</v>
      </c>
      <c r="B46" t="s">
        <v>237</v>
      </c>
      <c r="C46" s="1">
        <v>45383</v>
      </c>
      <c r="D46" s="1">
        <v>45358</v>
      </c>
      <c r="F46" t="s">
        <v>37</v>
      </c>
      <c r="H46" t="s">
        <v>60</v>
      </c>
      <c r="J46" t="s">
        <v>216</v>
      </c>
      <c r="K46" t="s">
        <v>217</v>
      </c>
      <c r="L46" t="s">
        <v>218</v>
      </c>
      <c r="M46" t="s">
        <v>42</v>
      </c>
      <c r="N46" s="1">
        <v>45238</v>
      </c>
      <c r="P46" t="s">
        <v>238</v>
      </c>
      <c r="Q46" t="s">
        <v>44</v>
      </c>
      <c r="R46" t="s">
        <v>245</v>
      </c>
      <c r="S46" t="s">
        <v>246</v>
      </c>
      <c r="T46" t="s">
        <v>129</v>
      </c>
      <c r="V46" t="s">
        <v>48</v>
      </c>
      <c r="W46" t="s">
        <v>129</v>
      </c>
      <c r="X46" t="s">
        <v>49</v>
      </c>
      <c r="Y46" t="s">
        <v>49</v>
      </c>
      <c r="Z46" t="s">
        <v>110</v>
      </c>
      <c r="AA46" t="s">
        <v>111</v>
      </c>
      <c r="AB46" t="s">
        <v>223</v>
      </c>
      <c r="AC46" t="s">
        <v>53</v>
      </c>
      <c r="AD46" t="s">
        <v>54</v>
      </c>
      <c r="AE46" t="s">
        <v>55</v>
      </c>
      <c r="AF46" t="s">
        <v>224</v>
      </c>
      <c r="AG46" t="s">
        <v>57</v>
      </c>
      <c r="AH46">
        <v>310</v>
      </c>
      <c r="AI46" t="s">
        <v>131</v>
      </c>
    </row>
    <row r="47" spans="1:35" x14ac:dyDescent="0.35">
      <c r="A47" t="s">
        <v>214</v>
      </c>
      <c r="B47" t="s">
        <v>237</v>
      </c>
      <c r="C47" s="1">
        <v>45383</v>
      </c>
      <c r="D47" s="1">
        <v>45358</v>
      </c>
      <c r="F47" t="s">
        <v>37</v>
      </c>
      <c r="H47" t="s">
        <v>60</v>
      </c>
      <c r="J47" t="s">
        <v>216</v>
      </c>
      <c r="K47" t="s">
        <v>217</v>
      </c>
      <c r="L47" t="s">
        <v>218</v>
      </c>
      <c r="M47" t="s">
        <v>42</v>
      </c>
      <c r="N47" s="1">
        <v>45238</v>
      </c>
      <c r="P47" t="s">
        <v>238</v>
      </c>
      <c r="Q47" t="s">
        <v>44</v>
      </c>
      <c r="R47" t="s">
        <v>247</v>
      </c>
      <c r="S47" t="s">
        <v>248</v>
      </c>
      <c r="T47" t="s">
        <v>129</v>
      </c>
      <c r="V47" t="s">
        <v>48</v>
      </c>
      <c r="W47" t="s">
        <v>129</v>
      </c>
      <c r="X47" t="s">
        <v>49</v>
      </c>
      <c r="Y47" t="s">
        <v>49</v>
      </c>
      <c r="Z47" t="s">
        <v>110</v>
      </c>
      <c r="AA47" t="s">
        <v>111</v>
      </c>
      <c r="AB47" t="s">
        <v>223</v>
      </c>
      <c r="AC47" t="s">
        <v>53</v>
      </c>
      <c r="AD47" t="s">
        <v>54</v>
      </c>
      <c r="AE47" t="s">
        <v>55</v>
      </c>
      <c r="AF47" t="s">
        <v>224</v>
      </c>
      <c r="AG47" t="s">
        <v>57</v>
      </c>
      <c r="AH47">
        <v>310</v>
      </c>
      <c r="AI47" t="s">
        <v>131</v>
      </c>
    </row>
    <row r="48" spans="1:35" x14ac:dyDescent="0.35">
      <c r="A48" t="s">
        <v>214</v>
      </c>
      <c r="B48" t="s">
        <v>237</v>
      </c>
      <c r="C48" s="1">
        <v>45383</v>
      </c>
      <c r="D48" s="1">
        <v>45358</v>
      </c>
      <c r="F48" t="s">
        <v>37</v>
      </c>
      <c r="H48" t="s">
        <v>60</v>
      </c>
      <c r="J48" t="s">
        <v>216</v>
      </c>
      <c r="K48" t="s">
        <v>217</v>
      </c>
      <c r="L48" t="s">
        <v>218</v>
      </c>
      <c r="M48" t="s">
        <v>42</v>
      </c>
      <c r="N48" s="1">
        <v>45238</v>
      </c>
      <c r="P48" t="s">
        <v>238</v>
      </c>
      <c r="Q48" t="s">
        <v>44</v>
      </c>
      <c r="R48" t="s">
        <v>227</v>
      </c>
      <c r="S48" t="s">
        <v>249</v>
      </c>
      <c r="T48" t="s">
        <v>129</v>
      </c>
      <c r="V48" t="s">
        <v>48</v>
      </c>
      <c r="W48" t="s">
        <v>129</v>
      </c>
      <c r="X48" t="s">
        <v>49</v>
      </c>
      <c r="Y48" t="s">
        <v>49</v>
      </c>
      <c r="Z48" t="s">
        <v>110</v>
      </c>
      <c r="AA48" t="s">
        <v>111</v>
      </c>
      <c r="AB48" t="s">
        <v>223</v>
      </c>
      <c r="AC48" t="s">
        <v>53</v>
      </c>
      <c r="AD48" t="s">
        <v>54</v>
      </c>
      <c r="AE48" t="s">
        <v>55</v>
      </c>
      <c r="AF48" t="s">
        <v>224</v>
      </c>
      <c r="AG48" t="s">
        <v>57</v>
      </c>
      <c r="AH48">
        <v>310</v>
      </c>
      <c r="AI48" t="s">
        <v>131</v>
      </c>
    </row>
    <row r="49" spans="1:35" x14ac:dyDescent="0.35">
      <c r="A49" t="s">
        <v>214</v>
      </c>
      <c r="B49" t="s">
        <v>250</v>
      </c>
      <c r="C49" s="1">
        <v>45296</v>
      </c>
      <c r="D49" s="1">
        <v>45309</v>
      </c>
      <c r="F49" t="s">
        <v>140</v>
      </c>
      <c r="H49" t="s">
        <v>38</v>
      </c>
      <c r="J49" t="s">
        <v>216</v>
      </c>
      <c r="K49" t="s">
        <v>217</v>
      </c>
      <c r="L49" t="s">
        <v>218</v>
      </c>
      <c r="M49" t="s">
        <v>42</v>
      </c>
      <c r="N49" s="1">
        <v>45238</v>
      </c>
      <c r="P49" t="s">
        <v>251</v>
      </c>
      <c r="Q49" t="s">
        <v>44</v>
      </c>
      <c r="R49" t="s">
        <v>252</v>
      </c>
      <c r="S49" t="s">
        <v>253</v>
      </c>
      <c r="T49" t="s">
        <v>129</v>
      </c>
      <c r="V49" t="s">
        <v>48</v>
      </c>
      <c r="W49" t="s">
        <v>129</v>
      </c>
      <c r="X49" t="s">
        <v>49</v>
      </c>
      <c r="Y49" t="s">
        <v>49</v>
      </c>
      <c r="Z49" t="s">
        <v>76</v>
      </c>
      <c r="AA49" t="s">
        <v>178</v>
      </c>
      <c r="AB49" t="s">
        <v>223</v>
      </c>
      <c r="AC49" t="s">
        <v>78</v>
      </c>
      <c r="AD49" t="s">
        <v>54</v>
      </c>
      <c r="AE49" t="s">
        <v>55</v>
      </c>
      <c r="AF49" t="s">
        <v>224</v>
      </c>
      <c r="AG49" t="s">
        <v>57</v>
      </c>
      <c r="AH49">
        <v>310</v>
      </c>
      <c r="AI49" t="s">
        <v>131</v>
      </c>
    </row>
    <row r="50" spans="1:35" x14ac:dyDescent="0.35">
      <c r="A50" t="s">
        <v>214</v>
      </c>
      <c r="B50" t="s">
        <v>254</v>
      </c>
      <c r="C50" s="1">
        <v>45261</v>
      </c>
      <c r="D50" s="1">
        <v>45260</v>
      </c>
      <c r="F50" t="s">
        <v>37</v>
      </c>
      <c r="H50" t="s">
        <v>38</v>
      </c>
      <c r="J50" t="s">
        <v>216</v>
      </c>
      <c r="K50" t="s">
        <v>217</v>
      </c>
      <c r="L50" t="s">
        <v>218</v>
      </c>
      <c r="M50" t="s">
        <v>42</v>
      </c>
      <c r="N50" s="1">
        <v>45238</v>
      </c>
      <c r="P50" t="s">
        <v>255</v>
      </c>
      <c r="Q50" t="s">
        <v>44</v>
      </c>
      <c r="R50" t="s">
        <v>256</v>
      </c>
      <c r="S50" t="s">
        <v>257</v>
      </c>
      <c r="T50" t="s">
        <v>129</v>
      </c>
      <c r="V50" t="s">
        <v>48</v>
      </c>
      <c r="W50" t="s">
        <v>129</v>
      </c>
      <c r="X50" t="s">
        <v>49</v>
      </c>
      <c r="Y50" t="s">
        <v>49</v>
      </c>
      <c r="Z50" t="s">
        <v>83</v>
      </c>
      <c r="AA50" t="s">
        <v>84</v>
      </c>
      <c r="AB50" t="s">
        <v>258</v>
      </c>
      <c r="AC50" t="s">
        <v>78</v>
      </c>
      <c r="AD50" t="s">
        <v>54</v>
      </c>
      <c r="AE50" t="s">
        <v>55</v>
      </c>
      <c r="AF50" t="s">
        <v>224</v>
      </c>
      <c r="AG50" t="s">
        <v>57</v>
      </c>
      <c r="AH50">
        <v>310</v>
      </c>
      <c r="AI50" t="s">
        <v>131</v>
      </c>
    </row>
    <row r="51" spans="1:35" x14ac:dyDescent="0.35">
      <c r="A51" t="s">
        <v>214</v>
      </c>
      <c r="B51" t="s">
        <v>259</v>
      </c>
      <c r="C51" s="1">
        <v>45296</v>
      </c>
      <c r="D51" s="1">
        <v>45282</v>
      </c>
      <c r="F51" t="s">
        <v>37</v>
      </c>
      <c r="H51" t="s">
        <v>38</v>
      </c>
      <c r="J51" t="s">
        <v>216</v>
      </c>
      <c r="K51" t="s">
        <v>217</v>
      </c>
      <c r="L51" t="s">
        <v>218</v>
      </c>
      <c r="M51" t="s">
        <v>42</v>
      </c>
      <c r="N51" s="1">
        <v>45238</v>
      </c>
      <c r="P51" t="s">
        <v>260</v>
      </c>
      <c r="Q51" t="s">
        <v>44</v>
      </c>
      <c r="R51" t="s">
        <v>261</v>
      </c>
      <c r="S51" t="s">
        <v>262</v>
      </c>
      <c r="T51" t="s">
        <v>129</v>
      </c>
      <c r="V51" t="s">
        <v>48</v>
      </c>
      <c r="W51" t="s">
        <v>129</v>
      </c>
      <c r="X51" t="s">
        <v>49</v>
      </c>
      <c r="Y51" t="s">
        <v>49</v>
      </c>
      <c r="Z51" t="s">
        <v>64</v>
      </c>
      <c r="AA51" t="s">
        <v>65</v>
      </c>
      <c r="AB51" t="s">
        <v>223</v>
      </c>
      <c r="AC51" t="s">
        <v>78</v>
      </c>
      <c r="AD51" t="s">
        <v>54</v>
      </c>
      <c r="AE51" t="s">
        <v>55</v>
      </c>
      <c r="AF51" t="s">
        <v>224</v>
      </c>
      <c r="AG51" t="s">
        <v>57</v>
      </c>
      <c r="AH51">
        <v>310</v>
      </c>
      <c r="AI51" t="s">
        <v>131</v>
      </c>
    </row>
    <row r="52" spans="1:35" x14ac:dyDescent="0.35">
      <c r="A52" t="s">
        <v>214</v>
      </c>
      <c r="B52" t="s">
        <v>263</v>
      </c>
      <c r="C52" s="1">
        <v>45338</v>
      </c>
      <c r="D52" s="1">
        <v>45330</v>
      </c>
      <c r="F52" t="s">
        <v>37</v>
      </c>
      <c r="H52" t="s">
        <v>60</v>
      </c>
      <c r="J52" t="s">
        <v>216</v>
      </c>
      <c r="K52" t="s">
        <v>217</v>
      </c>
      <c r="L52" t="s">
        <v>218</v>
      </c>
      <c r="M52" t="s">
        <v>42</v>
      </c>
      <c r="N52" s="1">
        <v>45238</v>
      </c>
      <c r="P52" t="s">
        <v>264</v>
      </c>
      <c r="Q52" t="s">
        <v>44</v>
      </c>
      <c r="R52" t="s">
        <v>265</v>
      </c>
      <c r="S52" t="s">
        <v>266</v>
      </c>
      <c r="T52" t="s">
        <v>129</v>
      </c>
      <c r="V52" t="s">
        <v>48</v>
      </c>
      <c r="W52" t="s">
        <v>129</v>
      </c>
      <c r="X52" t="s">
        <v>49</v>
      </c>
      <c r="Y52" t="s">
        <v>49</v>
      </c>
      <c r="Z52" t="s">
        <v>151</v>
      </c>
      <c r="AA52" t="s">
        <v>152</v>
      </c>
      <c r="AB52" t="s">
        <v>223</v>
      </c>
      <c r="AC52" t="s">
        <v>67</v>
      </c>
      <c r="AD52" t="s">
        <v>54</v>
      </c>
      <c r="AE52" t="s">
        <v>55</v>
      </c>
      <c r="AF52" t="s">
        <v>224</v>
      </c>
      <c r="AG52" t="s">
        <v>57</v>
      </c>
      <c r="AH52">
        <v>310</v>
      </c>
      <c r="AI52" t="s">
        <v>131</v>
      </c>
    </row>
    <row r="53" spans="1:35" x14ac:dyDescent="0.35">
      <c r="A53" t="s">
        <v>214</v>
      </c>
      <c r="B53" t="s">
        <v>263</v>
      </c>
      <c r="C53" s="1">
        <v>45338</v>
      </c>
      <c r="D53" s="1">
        <v>45330</v>
      </c>
      <c r="F53" t="s">
        <v>37</v>
      </c>
      <c r="H53" t="s">
        <v>60</v>
      </c>
      <c r="J53" t="s">
        <v>216</v>
      </c>
      <c r="K53" t="s">
        <v>217</v>
      </c>
      <c r="L53" t="s">
        <v>218</v>
      </c>
      <c r="M53" t="s">
        <v>42</v>
      </c>
      <c r="N53" s="1">
        <v>45238</v>
      </c>
      <c r="P53" t="s">
        <v>264</v>
      </c>
      <c r="Q53" t="s">
        <v>44</v>
      </c>
      <c r="R53" t="s">
        <v>267</v>
      </c>
      <c r="S53" t="s">
        <v>268</v>
      </c>
      <c r="T53" t="s">
        <v>129</v>
      </c>
      <c r="V53" t="s">
        <v>48</v>
      </c>
      <c r="W53" t="s">
        <v>129</v>
      </c>
      <c r="X53" t="s">
        <v>49</v>
      </c>
      <c r="Y53" t="s">
        <v>49</v>
      </c>
      <c r="Z53" t="s">
        <v>151</v>
      </c>
      <c r="AA53" t="s">
        <v>152</v>
      </c>
      <c r="AB53" t="s">
        <v>223</v>
      </c>
      <c r="AC53" t="s">
        <v>67</v>
      </c>
      <c r="AD53" t="s">
        <v>54</v>
      </c>
      <c r="AE53" t="s">
        <v>55</v>
      </c>
      <c r="AF53" t="s">
        <v>224</v>
      </c>
      <c r="AG53" t="s">
        <v>57</v>
      </c>
      <c r="AH53">
        <v>310</v>
      </c>
      <c r="AI53" t="s">
        <v>131</v>
      </c>
    </row>
    <row r="54" spans="1:35" x14ac:dyDescent="0.35">
      <c r="A54" t="s">
        <v>214</v>
      </c>
      <c r="B54" t="s">
        <v>263</v>
      </c>
      <c r="C54" s="1">
        <v>45338</v>
      </c>
      <c r="D54" s="1">
        <v>45330</v>
      </c>
      <c r="F54" t="s">
        <v>37</v>
      </c>
      <c r="H54" t="s">
        <v>60</v>
      </c>
      <c r="J54" t="s">
        <v>216</v>
      </c>
      <c r="K54" t="s">
        <v>217</v>
      </c>
      <c r="L54" t="s">
        <v>218</v>
      </c>
      <c r="M54" t="s">
        <v>42</v>
      </c>
      <c r="N54" s="1">
        <v>45238</v>
      </c>
      <c r="P54" t="s">
        <v>264</v>
      </c>
      <c r="Q54" t="s">
        <v>44</v>
      </c>
      <c r="R54" t="s">
        <v>227</v>
      </c>
      <c r="S54" t="s">
        <v>269</v>
      </c>
      <c r="T54" t="s">
        <v>129</v>
      </c>
      <c r="V54" t="s">
        <v>48</v>
      </c>
      <c r="W54" t="s">
        <v>129</v>
      </c>
      <c r="X54" t="s">
        <v>49</v>
      </c>
      <c r="Y54" t="s">
        <v>49</v>
      </c>
      <c r="Z54" t="s">
        <v>151</v>
      </c>
      <c r="AA54" t="s">
        <v>152</v>
      </c>
      <c r="AB54" t="s">
        <v>223</v>
      </c>
      <c r="AC54" t="s">
        <v>67</v>
      </c>
      <c r="AD54" t="s">
        <v>54</v>
      </c>
      <c r="AE54" t="s">
        <v>55</v>
      </c>
      <c r="AF54" t="s">
        <v>224</v>
      </c>
      <c r="AG54" t="s">
        <v>57</v>
      </c>
      <c r="AH54">
        <v>310</v>
      </c>
      <c r="AI54" t="s">
        <v>131</v>
      </c>
    </row>
    <row r="55" spans="1:35" x14ac:dyDescent="0.35">
      <c r="A55" t="s">
        <v>214</v>
      </c>
      <c r="B55" t="s">
        <v>270</v>
      </c>
      <c r="C55" s="1">
        <v>45321</v>
      </c>
      <c r="D55" s="1">
        <v>45309</v>
      </c>
      <c r="F55" t="s">
        <v>37</v>
      </c>
      <c r="H55" t="s">
        <v>38</v>
      </c>
      <c r="J55" t="s">
        <v>216</v>
      </c>
      <c r="K55" t="s">
        <v>217</v>
      </c>
      <c r="L55" t="s">
        <v>218</v>
      </c>
      <c r="M55" t="s">
        <v>42</v>
      </c>
      <c r="N55" s="1">
        <v>45238</v>
      </c>
      <c r="P55" t="s">
        <v>271</v>
      </c>
      <c r="Q55" t="s">
        <v>44</v>
      </c>
      <c r="R55" t="s">
        <v>272</v>
      </c>
      <c r="S55" t="s">
        <v>273</v>
      </c>
      <c r="T55" t="s">
        <v>129</v>
      </c>
      <c r="V55" t="s">
        <v>48</v>
      </c>
      <c r="W55" t="s">
        <v>129</v>
      </c>
      <c r="X55" t="s">
        <v>49</v>
      </c>
      <c r="Y55" t="s">
        <v>49</v>
      </c>
      <c r="Z55" t="s">
        <v>151</v>
      </c>
      <c r="AA55" t="s">
        <v>152</v>
      </c>
      <c r="AB55" t="s">
        <v>223</v>
      </c>
      <c r="AC55" t="s">
        <v>67</v>
      </c>
      <c r="AD55" t="s">
        <v>54</v>
      </c>
      <c r="AE55" t="s">
        <v>55</v>
      </c>
      <c r="AF55" t="s">
        <v>224</v>
      </c>
      <c r="AG55" t="s">
        <v>57</v>
      </c>
      <c r="AH55">
        <v>310</v>
      </c>
      <c r="AI55" t="s">
        <v>131</v>
      </c>
    </row>
    <row r="56" spans="1:35" x14ac:dyDescent="0.35">
      <c r="A56" t="s">
        <v>274</v>
      </c>
      <c r="B56" t="s">
        <v>275</v>
      </c>
      <c r="C56" s="1">
        <v>45351</v>
      </c>
      <c r="D56" s="1">
        <v>45350</v>
      </c>
      <c r="F56" t="s">
        <v>37</v>
      </c>
      <c r="H56" t="s">
        <v>38</v>
      </c>
      <c r="J56" t="s">
        <v>276</v>
      </c>
      <c r="K56" t="s">
        <v>277</v>
      </c>
      <c r="L56" t="s">
        <v>278</v>
      </c>
      <c r="M56" t="s">
        <v>42</v>
      </c>
      <c r="N56" s="1">
        <v>45253</v>
      </c>
      <c r="P56" t="s">
        <v>279</v>
      </c>
      <c r="Q56" t="s">
        <v>44</v>
      </c>
      <c r="R56" t="s">
        <v>280</v>
      </c>
      <c r="S56" t="s">
        <v>281</v>
      </c>
      <c r="T56" t="s">
        <v>201</v>
      </c>
      <c r="V56" t="s">
        <v>48</v>
      </c>
      <c r="W56" t="s">
        <v>201</v>
      </c>
      <c r="X56" t="s">
        <v>49</v>
      </c>
      <c r="Y56" t="s">
        <v>49</v>
      </c>
      <c r="Z56" t="s">
        <v>282</v>
      </c>
      <c r="AA56" t="s">
        <v>283</v>
      </c>
      <c r="AB56" t="s">
        <v>223</v>
      </c>
      <c r="AC56" t="s">
        <v>78</v>
      </c>
      <c r="AD56" t="s">
        <v>54</v>
      </c>
      <c r="AE56" t="s">
        <v>55</v>
      </c>
      <c r="AF56" t="s">
        <v>284</v>
      </c>
      <c r="AG56" t="s">
        <v>57</v>
      </c>
      <c r="AH56">
        <v>310</v>
      </c>
      <c r="AI56" t="s">
        <v>131</v>
      </c>
    </row>
    <row r="57" spans="1:35" x14ac:dyDescent="0.35">
      <c r="A57" t="s">
        <v>274</v>
      </c>
      <c r="B57" t="s">
        <v>285</v>
      </c>
      <c r="C57" s="1">
        <v>45351</v>
      </c>
      <c r="D57" s="1">
        <v>45350</v>
      </c>
      <c r="F57" t="s">
        <v>37</v>
      </c>
      <c r="H57" t="s">
        <v>60</v>
      </c>
      <c r="J57" t="s">
        <v>276</v>
      </c>
      <c r="K57" t="s">
        <v>277</v>
      </c>
      <c r="L57" t="s">
        <v>278</v>
      </c>
      <c r="M57" t="s">
        <v>42</v>
      </c>
      <c r="N57" s="1">
        <v>45253</v>
      </c>
      <c r="P57" t="s">
        <v>286</v>
      </c>
      <c r="Q57" t="s">
        <v>44</v>
      </c>
      <c r="R57" t="s">
        <v>287</v>
      </c>
      <c r="S57" t="s">
        <v>288</v>
      </c>
      <c r="T57" t="s">
        <v>201</v>
      </c>
      <c r="V57" t="s">
        <v>48</v>
      </c>
      <c r="W57" t="s">
        <v>201</v>
      </c>
      <c r="X57" t="s">
        <v>49</v>
      </c>
      <c r="Y57" t="s">
        <v>49</v>
      </c>
      <c r="Z57" t="s">
        <v>184</v>
      </c>
      <c r="AA57" t="s">
        <v>185</v>
      </c>
      <c r="AB57" t="s">
        <v>223</v>
      </c>
      <c r="AC57" t="s">
        <v>67</v>
      </c>
      <c r="AD57" t="s">
        <v>54</v>
      </c>
      <c r="AE57" t="s">
        <v>55</v>
      </c>
      <c r="AF57" t="s">
        <v>284</v>
      </c>
      <c r="AG57" t="s">
        <v>57</v>
      </c>
      <c r="AH57">
        <v>310</v>
      </c>
      <c r="AI57" t="s">
        <v>131</v>
      </c>
    </row>
    <row r="58" spans="1:35" x14ac:dyDescent="0.35">
      <c r="A58" t="s">
        <v>274</v>
      </c>
      <c r="B58" t="s">
        <v>285</v>
      </c>
      <c r="C58" s="1">
        <v>45351</v>
      </c>
      <c r="D58" s="1">
        <v>45350</v>
      </c>
      <c r="F58" t="s">
        <v>37</v>
      </c>
      <c r="H58" t="s">
        <v>60</v>
      </c>
      <c r="J58" t="s">
        <v>276</v>
      </c>
      <c r="K58" t="s">
        <v>277</v>
      </c>
      <c r="L58" t="s">
        <v>278</v>
      </c>
      <c r="M58" t="s">
        <v>42</v>
      </c>
      <c r="N58" s="1">
        <v>45253</v>
      </c>
      <c r="P58" t="s">
        <v>286</v>
      </c>
      <c r="Q58" t="s">
        <v>44</v>
      </c>
      <c r="R58" t="s">
        <v>289</v>
      </c>
      <c r="S58" t="s">
        <v>290</v>
      </c>
      <c r="T58" t="s">
        <v>201</v>
      </c>
      <c r="V58" t="s">
        <v>48</v>
      </c>
      <c r="W58" t="s">
        <v>201</v>
      </c>
      <c r="X58" t="s">
        <v>49</v>
      </c>
      <c r="Y58" t="s">
        <v>49</v>
      </c>
      <c r="Z58" t="s">
        <v>184</v>
      </c>
      <c r="AA58" t="s">
        <v>185</v>
      </c>
      <c r="AB58" t="s">
        <v>223</v>
      </c>
      <c r="AC58" t="s">
        <v>67</v>
      </c>
      <c r="AD58" t="s">
        <v>54</v>
      </c>
      <c r="AE58" t="s">
        <v>55</v>
      </c>
      <c r="AF58" t="s">
        <v>284</v>
      </c>
      <c r="AG58" t="s">
        <v>57</v>
      </c>
      <c r="AH58">
        <v>310</v>
      </c>
      <c r="AI58" t="s">
        <v>131</v>
      </c>
    </row>
    <row r="59" spans="1:35" x14ac:dyDescent="0.35">
      <c r="A59" t="s">
        <v>274</v>
      </c>
      <c r="B59" t="s">
        <v>285</v>
      </c>
      <c r="C59" s="1">
        <v>45351</v>
      </c>
      <c r="D59" s="1">
        <v>45350</v>
      </c>
      <c r="F59" t="s">
        <v>37</v>
      </c>
      <c r="H59" t="s">
        <v>60</v>
      </c>
      <c r="J59" t="s">
        <v>276</v>
      </c>
      <c r="K59" t="s">
        <v>277</v>
      </c>
      <c r="L59" t="s">
        <v>278</v>
      </c>
      <c r="M59" t="s">
        <v>42</v>
      </c>
      <c r="N59" s="1">
        <v>45253</v>
      </c>
      <c r="P59" t="s">
        <v>286</v>
      </c>
      <c r="Q59" t="s">
        <v>44</v>
      </c>
      <c r="R59" t="s">
        <v>291</v>
      </c>
      <c r="S59" t="s">
        <v>292</v>
      </c>
      <c r="T59" t="s">
        <v>201</v>
      </c>
      <c r="V59" t="s">
        <v>48</v>
      </c>
      <c r="W59" t="s">
        <v>201</v>
      </c>
      <c r="X59" t="s">
        <v>49</v>
      </c>
      <c r="Y59" t="s">
        <v>49</v>
      </c>
      <c r="Z59" t="s">
        <v>184</v>
      </c>
      <c r="AA59" t="s">
        <v>185</v>
      </c>
      <c r="AB59" t="s">
        <v>223</v>
      </c>
      <c r="AC59" t="s">
        <v>67</v>
      </c>
      <c r="AD59" t="s">
        <v>54</v>
      </c>
      <c r="AE59" t="s">
        <v>55</v>
      </c>
      <c r="AF59" t="s">
        <v>284</v>
      </c>
      <c r="AG59" t="s">
        <v>57</v>
      </c>
      <c r="AH59">
        <v>310</v>
      </c>
      <c r="AI59" t="s">
        <v>131</v>
      </c>
    </row>
    <row r="60" spans="1:35" x14ac:dyDescent="0.35">
      <c r="A60" t="s">
        <v>274</v>
      </c>
      <c r="B60" t="s">
        <v>293</v>
      </c>
      <c r="C60" s="1">
        <v>45351</v>
      </c>
      <c r="D60" s="1">
        <v>45350</v>
      </c>
      <c r="F60" t="s">
        <v>37</v>
      </c>
      <c r="H60" t="s">
        <v>38</v>
      </c>
      <c r="J60" t="s">
        <v>276</v>
      </c>
      <c r="K60" t="s">
        <v>277</v>
      </c>
      <c r="L60" t="s">
        <v>278</v>
      </c>
      <c r="M60" t="s">
        <v>42</v>
      </c>
      <c r="N60" s="1">
        <v>45253</v>
      </c>
      <c r="P60" t="s">
        <v>294</v>
      </c>
      <c r="Q60" t="s">
        <v>44</v>
      </c>
      <c r="R60" t="s">
        <v>295</v>
      </c>
      <c r="S60" t="s">
        <v>296</v>
      </c>
      <c r="T60" t="s">
        <v>201</v>
      </c>
      <c r="V60" t="s">
        <v>48</v>
      </c>
      <c r="W60" t="s">
        <v>201</v>
      </c>
      <c r="X60" t="s">
        <v>49</v>
      </c>
      <c r="Y60" t="s">
        <v>49</v>
      </c>
      <c r="Z60" t="s">
        <v>64</v>
      </c>
      <c r="AA60" t="s">
        <v>65</v>
      </c>
      <c r="AB60" t="s">
        <v>66</v>
      </c>
      <c r="AC60" t="s">
        <v>78</v>
      </c>
      <c r="AD60" t="s">
        <v>54</v>
      </c>
      <c r="AE60" t="s">
        <v>55</v>
      </c>
      <c r="AF60" t="s">
        <v>284</v>
      </c>
      <c r="AG60" t="s">
        <v>57</v>
      </c>
      <c r="AH60">
        <v>310</v>
      </c>
      <c r="AI60" t="s">
        <v>131</v>
      </c>
    </row>
    <row r="61" spans="1:35" x14ac:dyDescent="0.35">
      <c r="A61" t="s">
        <v>274</v>
      </c>
      <c r="B61" t="s">
        <v>297</v>
      </c>
      <c r="C61" s="1">
        <v>45351</v>
      </c>
      <c r="D61" s="1">
        <v>45349</v>
      </c>
      <c r="F61" t="s">
        <v>37</v>
      </c>
      <c r="H61" t="s">
        <v>38</v>
      </c>
      <c r="J61" t="s">
        <v>276</v>
      </c>
      <c r="K61" t="s">
        <v>277</v>
      </c>
      <c r="L61" t="s">
        <v>278</v>
      </c>
      <c r="M61" t="s">
        <v>42</v>
      </c>
      <c r="N61" s="1">
        <v>45253</v>
      </c>
      <c r="P61" t="s">
        <v>298</v>
      </c>
      <c r="Q61" t="s">
        <v>44</v>
      </c>
      <c r="R61" t="s">
        <v>299</v>
      </c>
      <c r="S61" t="s">
        <v>300</v>
      </c>
      <c r="T61" t="s">
        <v>201</v>
      </c>
      <c r="V61" t="s">
        <v>48</v>
      </c>
      <c r="W61" t="s">
        <v>201</v>
      </c>
      <c r="X61" t="s">
        <v>49</v>
      </c>
      <c r="Y61" t="s">
        <v>49</v>
      </c>
      <c r="Z61" t="s">
        <v>110</v>
      </c>
      <c r="AA61" t="s">
        <v>111</v>
      </c>
      <c r="AB61" t="s">
        <v>223</v>
      </c>
      <c r="AC61" t="s">
        <v>53</v>
      </c>
      <c r="AD61" t="s">
        <v>54</v>
      </c>
      <c r="AE61" t="s">
        <v>55</v>
      </c>
      <c r="AF61" t="s">
        <v>284</v>
      </c>
      <c r="AG61" t="s">
        <v>57</v>
      </c>
      <c r="AH61">
        <v>310</v>
      </c>
      <c r="AI61" t="s">
        <v>131</v>
      </c>
    </row>
    <row r="62" spans="1:35" x14ac:dyDescent="0.35">
      <c r="A62" t="s">
        <v>274</v>
      </c>
      <c r="B62" t="s">
        <v>301</v>
      </c>
      <c r="C62" s="1">
        <v>45351</v>
      </c>
      <c r="D62" s="1">
        <v>45282</v>
      </c>
      <c r="F62" t="s">
        <v>37</v>
      </c>
      <c r="H62" t="s">
        <v>38</v>
      </c>
      <c r="J62" t="s">
        <v>276</v>
      </c>
      <c r="K62" t="s">
        <v>277</v>
      </c>
      <c r="L62" t="s">
        <v>278</v>
      </c>
      <c r="M62" t="s">
        <v>42</v>
      </c>
      <c r="N62" s="1">
        <v>45253</v>
      </c>
      <c r="P62" t="s">
        <v>302</v>
      </c>
      <c r="Q62" t="s">
        <v>44</v>
      </c>
      <c r="R62" t="s">
        <v>303</v>
      </c>
      <c r="S62" t="s">
        <v>304</v>
      </c>
      <c r="T62" t="s">
        <v>201</v>
      </c>
      <c r="V62" t="s">
        <v>48</v>
      </c>
      <c r="W62" t="s">
        <v>201</v>
      </c>
      <c r="X62" t="s">
        <v>49</v>
      </c>
      <c r="Y62" t="s">
        <v>49</v>
      </c>
      <c r="Z62" t="s">
        <v>83</v>
      </c>
      <c r="AA62" t="s">
        <v>84</v>
      </c>
      <c r="AB62" t="s">
        <v>166</v>
      </c>
      <c r="AC62" t="s">
        <v>78</v>
      </c>
      <c r="AD62" t="s">
        <v>54</v>
      </c>
      <c r="AE62" t="s">
        <v>55</v>
      </c>
      <c r="AF62" t="s">
        <v>284</v>
      </c>
      <c r="AG62" t="s">
        <v>57</v>
      </c>
      <c r="AH62">
        <v>310</v>
      </c>
      <c r="AI62" t="s">
        <v>131</v>
      </c>
    </row>
    <row r="63" spans="1:35" x14ac:dyDescent="0.35">
      <c r="A63" t="s">
        <v>274</v>
      </c>
      <c r="B63" t="s">
        <v>305</v>
      </c>
      <c r="C63" s="1">
        <v>45351</v>
      </c>
      <c r="D63" s="1">
        <v>45350</v>
      </c>
      <c r="F63" t="s">
        <v>37</v>
      </c>
      <c r="H63" t="s">
        <v>38</v>
      </c>
      <c r="J63" t="s">
        <v>276</v>
      </c>
      <c r="K63" t="s">
        <v>277</v>
      </c>
      <c r="L63" t="s">
        <v>278</v>
      </c>
      <c r="M63" t="s">
        <v>42</v>
      </c>
      <c r="N63" s="1">
        <v>45253</v>
      </c>
      <c r="P63" t="s">
        <v>306</v>
      </c>
      <c r="Q63" t="s">
        <v>44</v>
      </c>
      <c r="R63" t="s">
        <v>307</v>
      </c>
      <c r="S63" t="s">
        <v>308</v>
      </c>
      <c r="T63" t="s">
        <v>201</v>
      </c>
      <c r="V63" t="s">
        <v>48</v>
      </c>
      <c r="W63" t="s">
        <v>201</v>
      </c>
      <c r="X63" t="s">
        <v>49</v>
      </c>
      <c r="Y63" t="s">
        <v>49</v>
      </c>
      <c r="Z63" t="s">
        <v>83</v>
      </c>
      <c r="AA63" t="s">
        <v>99</v>
      </c>
      <c r="AB63" t="s">
        <v>309</v>
      </c>
      <c r="AC63" t="s">
        <v>78</v>
      </c>
      <c r="AD63" t="s">
        <v>54</v>
      </c>
      <c r="AE63" t="s">
        <v>55</v>
      </c>
      <c r="AF63" t="s">
        <v>284</v>
      </c>
      <c r="AG63" t="s">
        <v>57</v>
      </c>
      <c r="AH63">
        <v>310</v>
      </c>
      <c r="AI63" t="s">
        <v>131</v>
      </c>
    </row>
    <row r="64" spans="1:35" x14ac:dyDescent="0.35">
      <c r="A64" t="s">
        <v>310</v>
      </c>
      <c r="B64" t="s">
        <v>311</v>
      </c>
      <c r="C64" s="1">
        <v>45565</v>
      </c>
      <c r="D64" s="1">
        <v>45518</v>
      </c>
      <c r="F64" t="s">
        <v>37</v>
      </c>
      <c r="H64" t="s">
        <v>60</v>
      </c>
      <c r="J64" t="s">
        <v>312</v>
      </c>
      <c r="K64" t="s">
        <v>313</v>
      </c>
      <c r="L64" t="s">
        <v>314</v>
      </c>
      <c r="M64" t="s">
        <v>42</v>
      </c>
      <c r="N64" s="1">
        <v>45420</v>
      </c>
      <c r="P64" t="s">
        <v>315</v>
      </c>
      <c r="Q64" t="s">
        <v>44</v>
      </c>
      <c r="R64" t="s">
        <v>316</v>
      </c>
      <c r="S64" t="s">
        <v>317</v>
      </c>
      <c r="T64" t="s">
        <v>318</v>
      </c>
      <c r="V64" t="s">
        <v>48</v>
      </c>
      <c r="W64" t="s">
        <v>318</v>
      </c>
      <c r="X64" t="s">
        <v>49</v>
      </c>
      <c r="Y64" t="s">
        <v>49</v>
      </c>
      <c r="Z64" t="s">
        <v>64</v>
      </c>
      <c r="AA64" t="s">
        <v>65</v>
      </c>
      <c r="AB64" t="s">
        <v>319</v>
      </c>
      <c r="AC64" t="s">
        <v>78</v>
      </c>
      <c r="AD64" t="s">
        <v>54</v>
      </c>
      <c r="AE64" t="s">
        <v>55</v>
      </c>
      <c r="AF64" t="s">
        <v>320</v>
      </c>
      <c r="AG64" t="s">
        <v>57</v>
      </c>
      <c r="AH64">
        <v>84</v>
      </c>
      <c r="AI64" t="s">
        <v>58</v>
      </c>
    </row>
    <row r="65" spans="1:35" x14ac:dyDescent="0.35">
      <c r="A65" t="s">
        <v>310</v>
      </c>
      <c r="B65" t="s">
        <v>311</v>
      </c>
      <c r="C65" s="1">
        <v>45565</v>
      </c>
      <c r="D65" s="1">
        <v>45518</v>
      </c>
      <c r="F65" t="s">
        <v>37</v>
      </c>
      <c r="H65" t="s">
        <v>60</v>
      </c>
      <c r="J65" t="s">
        <v>312</v>
      </c>
      <c r="K65" t="s">
        <v>313</v>
      </c>
      <c r="L65" t="s">
        <v>314</v>
      </c>
      <c r="M65" t="s">
        <v>42</v>
      </c>
      <c r="N65" s="1">
        <v>45420</v>
      </c>
      <c r="P65" t="s">
        <v>315</v>
      </c>
      <c r="Q65" t="s">
        <v>44</v>
      </c>
      <c r="R65" t="s">
        <v>321</v>
      </c>
      <c r="S65" t="e">
        <f>-A detailed training session for all site staff including GCP requirements/ responsibilities, good documentation practices and review of the current protocol. -site to document or stablish A process for the review of the safety/critical alerts including the timeframe for alert review, assessment, and timely documentation. -CRA/SCP to ask cSOM the ideal timelapse between serial ECGs and provide to the site in order to establish and adequate process During collection of serials ECGs</f>
        <v>#NAME?</v>
      </c>
      <c r="T65" t="s">
        <v>318</v>
      </c>
      <c r="V65" t="s">
        <v>48</v>
      </c>
      <c r="W65" t="s">
        <v>318</v>
      </c>
      <c r="X65" t="s">
        <v>49</v>
      </c>
      <c r="Y65" t="s">
        <v>49</v>
      </c>
      <c r="Z65" t="s">
        <v>64</v>
      </c>
      <c r="AA65" t="s">
        <v>65</v>
      </c>
      <c r="AB65" t="s">
        <v>319</v>
      </c>
      <c r="AC65" t="s">
        <v>78</v>
      </c>
      <c r="AD65" t="s">
        <v>54</v>
      </c>
      <c r="AE65" t="s">
        <v>55</v>
      </c>
      <c r="AF65" t="s">
        <v>320</v>
      </c>
      <c r="AG65" t="s">
        <v>57</v>
      </c>
      <c r="AH65">
        <v>84</v>
      </c>
      <c r="AI65" t="s">
        <v>58</v>
      </c>
    </row>
    <row r="66" spans="1:35" x14ac:dyDescent="0.35">
      <c r="A66" t="s">
        <v>310</v>
      </c>
      <c r="B66" t="s">
        <v>311</v>
      </c>
      <c r="C66" s="1">
        <v>45565</v>
      </c>
      <c r="D66" s="1">
        <v>45518</v>
      </c>
      <c r="F66" t="s">
        <v>37</v>
      </c>
      <c r="H66" t="s">
        <v>60</v>
      </c>
      <c r="J66" t="s">
        <v>312</v>
      </c>
      <c r="K66" t="s">
        <v>313</v>
      </c>
      <c r="L66" t="s">
        <v>314</v>
      </c>
      <c r="M66" t="s">
        <v>42</v>
      </c>
      <c r="N66" s="1">
        <v>45420</v>
      </c>
      <c r="P66" t="s">
        <v>315</v>
      </c>
      <c r="Q66" t="s">
        <v>44</v>
      </c>
      <c r="R66" t="s">
        <v>322</v>
      </c>
      <c r="S66" t="s">
        <v>323</v>
      </c>
      <c r="T66" t="s">
        <v>318</v>
      </c>
      <c r="V66" t="s">
        <v>48</v>
      </c>
      <c r="W66" t="s">
        <v>318</v>
      </c>
      <c r="X66" t="s">
        <v>49</v>
      </c>
      <c r="Y66" t="s">
        <v>49</v>
      </c>
      <c r="Z66" t="s">
        <v>64</v>
      </c>
      <c r="AA66" t="s">
        <v>65</v>
      </c>
      <c r="AB66" t="s">
        <v>319</v>
      </c>
      <c r="AC66" t="s">
        <v>78</v>
      </c>
      <c r="AD66" t="s">
        <v>54</v>
      </c>
      <c r="AE66" t="s">
        <v>55</v>
      </c>
      <c r="AF66" t="s">
        <v>320</v>
      </c>
      <c r="AG66" t="s">
        <v>57</v>
      </c>
      <c r="AH66">
        <v>84</v>
      </c>
      <c r="AI66" t="s">
        <v>58</v>
      </c>
    </row>
    <row r="67" spans="1:35" x14ac:dyDescent="0.35">
      <c r="A67" t="s">
        <v>310</v>
      </c>
      <c r="B67" t="s">
        <v>324</v>
      </c>
      <c r="C67" s="1">
        <v>45462</v>
      </c>
      <c r="D67" s="1">
        <v>45462</v>
      </c>
      <c r="F67" t="s">
        <v>37</v>
      </c>
      <c r="H67" t="s">
        <v>38</v>
      </c>
      <c r="J67" t="s">
        <v>312</v>
      </c>
      <c r="K67" t="s">
        <v>313</v>
      </c>
      <c r="L67" t="s">
        <v>314</v>
      </c>
      <c r="M67" t="s">
        <v>42</v>
      </c>
      <c r="N67" s="1">
        <v>45420</v>
      </c>
      <c r="P67" t="s">
        <v>325</v>
      </c>
      <c r="Q67" t="s">
        <v>44</v>
      </c>
      <c r="R67" t="s">
        <v>326</v>
      </c>
      <c r="S67" t="s">
        <v>327</v>
      </c>
      <c r="T67" t="s">
        <v>318</v>
      </c>
      <c r="V67" t="s">
        <v>48</v>
      </c>
      <c r="W67" t="s">
        <v>318</v>
      </c>
      <c r="X67" t="s">
        <v>49</v>
      </c>
      <c r="Y67" t="s">
        <v>49</v>
      </c>
      <c r="Z67" t="s">
        <v>184</v>
      </c>
      <c r="AA67" t="s">
        <v>185</v>
      </c>
      <c r="AB67" t="s">
        <v>186</v>
      </c>
      <c r="AC67" t="s">
        <v>67</v>
      </c>
      <c r="AD67" t="s">
        <v>54</v>
      </c>
      <c r="AE67" t="s">
        <v>55</v>
      </c>
      <c r="AF67" t="s">
        <v>320</v>
      </c>
      <c r="AG67" t="s">
        <v>57</v>
      </c>
      <c r="AH67">
        <v>84</v>
      </c>
      <c r="AI67" t="s">
        <v>58</v>
      </c>
    </row>
    <row r="68" spans="1:35" x14ac:dyDescent="0.35">
      <c r="A68" t="s">
        <v>310</v>
      </c>
      <c r="B68" t="s">
        <v>324</v>
      </c>
      <c r="C68" s="1">
        <v>45462</v>
      </c>
      <c r="D68" s="1">
        <v>45462</v>
      </c>
      <c r="F68" t="s">
        <v>37</v>
      </c>
      <c r="H68" t="s">
        <v>38</v>
      </c>
      <c r="J68" t="s">
        <v>312</v>
      </c>
      <c r="K68" t="s">
        <v>313</v>
      </c>
      <c r="L68" t="s">
        <v>314</v>
      </c>
      <c r="M68" t="s">
        <v>42</v>
      </c>
      <c r="N68" s="1">
        <v>45420</v>
      </c>
      <c r="P68" t="s">
        <v>325</v>
      </c>
      <c r="Q68" t="s">
        <v>44</v>
      </c>
      <c r="R68" t="s">
        <v>326</v>
      </c>
      <c r="S68" t="s">
        <v>327</v>
      </c>
      <c r="T68" t="s">
        <v>318</v>
      </c>
      <c r="V68" t="s">
        <v>48</v>
      </c>
      <c r="W68" t="s">
        <v>318</v>
      </c>
      <c r="X68" t="s">
        <v>49</v>
      </c>
      <c r="Y68" t="s">
        <v>49</v>
      </c>
      <c r="Z68" t="s">
        <v>184</v>
      </c>
      <c r="AA68" t="s">
        <v>185</v>
      </c>
      <c r="AB68" t="s">
        <v>186</v>
      </c>
      <c r="AC68" t="s">
        <v>78</v>
      </c>
      <c r="AD68" t="s">
        <v>54</v>
      </c>
      <c r="AE68" t="s">
        <v>55</v>
      </c>
      <c r="AF68" t="s">
        <v>320</v>
      </c>
      <c r="AG68" t="s">
        <v>57</v>
      </c>
      <c r="AH68">
        <v>84</v>
      </c>
      <c r="AI68" t="s">
        <v>58</v>
      </c>
    </row>
    <row r="69" spans="1:35" x14ac:dyDescent="0.35">
      <c r="A69" t="s">
        <v>310</v>
      </c>
      <c r="B69" t="s">
        <v>328</v>
      </c>
      <c r="C69" s="1">
        <v>45565</v>
      </c>
      <c r="D69" s="1">
        <v>45518</v>
      </c>
      <c r="F69" t="s">
        <v>37</v>
      </c>
      <c r="H69" t="s">
        <v>60</v>
      </c>
      <c r="J69" t="s">
        <v>312</v>
      </c>
      <c r="K69" t="s">
        <v>313</v>
      </c>
      <c r="L69" t="s">
        <v>314</v>
      </c>
      <c r="M69" t="s">
        <v>42</v>
      </c>
      <c r="N69" s="1">
        <v>45420</v>
      </c>
      <c r="P69" t="s">
        <v>329</v>
      </c>
      <c r="Q69" t="s">
        <v>44</v>
      </c>
      <c r="R69" t="e">
        <f>-SAE was conciliated between PSSA and medical note.-Retraining regarding good documentation practices and AE reporting/documentation by the CRA or SCP and training log updated as required.</f>
        <v>#NAME?</v>
      </c>
      <c r="S69" t="s">
        <v>330</v>
      </c>
      <c r="T69" t="s">
        <v>318</v>
      </c>
      <c r="V69" t="s">
        <v>48</v>
      </c>
      <c r="W69" t="s">
        <v>318</v>
      </c>
      <c r="X69" t="s">
        <v>49</v>
      </c>
      <c r="Y69" t="s">
        <v>49</v>
      </c>
      <c r="Z69" t="s">
        <v>331</v>
      </c>
      <c r="AA69" t="s">
        <v>332</v>
      </c>
      <c r="AB69" t="s">
        <v>179</v>
      </c>
      <c r="AC69" t="s">
        <v>78</v>
      </c>
      <c r="AD69" t="s">
        <v>54</v>
      </c>
      <c r="AE69" t="s">
        <v>55</v>
      </c>
      <c r="AF69" t="s">
        <v>320</v>
      </c>
      <c r="AG69" t="s">
        <v>57</v>
      </c>
      <c r="AH69">
        <v>84</v>
      </c>
      <c r="AI69" t="s">
        <v>58</v>
      </c>
    </row>
    <row r="70" spans="1:35" x14ac:dyDescent="0.35">
      <c r="A70" t="s">
        <v>310</v>
      </c>
      <c r="B70" t="s">
        <v>328</v>
      </c>
      <c r="C70" s="1">
        <v>45565</v>
      </c>
      <c r="D70" s="1">
        <v>45518</v>
      </c>
      <c r="F70" t="s">
        <v>37</v>
      </c>
      <c r="H70" t="s">
        <v>60</v>
      </c>
      <c r="J70" t="s">
        <v>312</v>
      </c>
      <c r="K70" t="s">
        <v>313</v>
      </c>
      <c r="L70" t="s">
        <v>314</v>
      </c>
      <c r="M70" t="s">
        <v>42</v>
      </c>
      <c r="N70" s="1">
        <v>45420</v>
      </c>
      <c r="P70" t="s">
        <v>329</v>
      </c>
      <c r="Q70" t="s">
        <v>44</v>
      </c>
      <c r="R70" t="s">
        <v>333</v>
      </c>
      <c r="S70" t="s">
        <v>334</v>
      </c>
      <c r="T70" t="s">
        <v>318</v>
      </c>
      <c r="V70" t="s">
        <v>48</v>
      </c>
      <c r="W70" t="s">
        <v>318</v>
      </c>
      <c r="X70" t="s">
        <v>49</v>
      </c>
      <c r="Y70" t="s">
        <v>49</v>
      </c>
      <c r="Z70" t="s">
        <v>331</v>
      </c>
      <c r="AA70" t="s">
        <v>332</v>
      </c>
      <c r="AB70" t="s">
        <v>179</v>
      </c>
      <c r="AC70" t="s">
        <v>78</v>
      </c>
      <c r="AD70" t="s">
        <v>54</v>
      </c>
      <c r="AE70" t="s">
        <v>55</v>
      </c>
      <c r="AF70" t="s">
        <v>320</v>
      </c>
      <c r="AG70" t="s">
        <v>57</v>
      </c>
      <c r="AH70">
        <v>84</v>
      </c>
      <c r="AI70" t="s">
        <v>58</v>
      </c>
    </row>
    <row r="71" spans="1:35" x14ac:dyDescent="0.35">
      <c r="A71" t="s">
        <v>310</v>
      </c>
      <c r="B71" t="s">
        <v>335</v>
      </c>
      <c r="C71" s="1">
        <v>45565</v>
      </c>
      <c r="D71" s="1">
        <v>45554</v>
      </c>
      <c r="F71" t="s">
        <v>37</v>
      </c>
      <c r="H71" t="s">
        <v>60</v>
      </c>
      <c r="J71" t="s">
        <v>312</v>
      </c>
      <c r="K71" t="s">
        <v>313</v>
      </c>
      <c r="L71" t="s">
        <v>314</v>
      </c>
      <c r="M71" t="s">
        <v>42</v>
      </c>
      <c r="N71" s="1">
        <v>45420</v>
      </c>
      <c r="P71" t="s">
        <v>336</v>
      </c>
      <c r="Q71" t="s">
        <v>44</v>
      </c>
      <c r="R71" t="e">
        <f>- IPALs has been completed according GCP, site monitor  documented During Monitoring report. - IMP shipment form has been completed and reviewed During the Monitoring visit.</f>
        <v>#NAME?</v>
      </c>
      <c r="S71" t="s">
        <v>337</v>
      </c>
      <c r="T71" t="s">
        <v>318</v>
      </c>
      <c r="V71" t="s">
        <v>48</v>
      </c>
      <c r="W71" t="s">
        <v>318</v>
      </c>
      <c r="X71" t="s">
        <v>49</v>
      </c>
      <c r="Y71" t="s">
        <v>49</v>
      </c>
      <c r="Z71" t="s">
        <v>104</v>
      </c>
      <c r="AA71" t="s">
        <v>105</v>
      </c>
      <c r="AB71" t="s">
        <v>161</v>
      </c>
      <c r="AC71" t="s">
        <v>78</v>
      </c>
      <c r="AD71" t="s">
        <v>54</v>
      </c>
      <c r="AE71" t="s">
        <v>55</v>
      </c>
      <c r="AF71" t="s">
        <v>320</v>
      </c>
      <c r="AG71" t="s">
        <v>57</v>
      </c>
      <c r="AH71">
        <v>84</v>
      </c>
      <c r="AI71" t="s">
        <v>58</v>
      </c>
    </row>
    <row r="72" spans="1:35" x14ac:dyDescent="0.35">
      <c r="A72" t="s">
        <v>310</v>
      </c>
      <c r="B72" t="s">
        <v>335</v>
      </c>
      <c r="C72" s="1">
        <v>45565</v>
      </c>
      <c r="D72" s="1">
        <v>45554</v>
      </c>
      <c r="F72" t="s">
        <v>37</v>
      </c>
      <c r="H72" t="s">
        <v>60</v>
      </c>
      <c r="J72" t="s">
        <v>312</v>
      </c>
      <c r="K72" t="s">
        <v>313</v>
      </c>
      <c r="L72" t="s">
        <v>314</v>
      </c>
      <c r="M72" t="s">
        <v>42</v>
      </c>
      <c r="N72" s="1">
        <v>45420</v>
      </c>
      <c r="P72" t="s">
        <v>336</v>
      </c>
      <c r="Q72" t="s">
        <v>44</v>
      </c>
      <c r="R72" t="s">
        <v>338</v>
      </c>
      <c r="S72" t="s">
        <v>339</v>
      </c>
      <c r="T72" t="s">
        <v>318</v>
      </c>
      <c r="V72" t="s">
        <v>48</v>
      </c>
      <c r="W72" t="s">
        <v>318</v>
      </c>
      <c r="X72" t="s">
        <v>49</v>
      </c>
      <c r="Y72" t="s">
        <v>49</v>
      </c>
      <c r="Z72" t="s">
        <v>104</v>
      </c>
      <c r="AA72" t="s">
        <v>105</v>
      </c>
      <c r="AB72" t="s">
        <v>161</v>
      </c>
      <c r="AC72" t="s">
        <v>78</v>
      </c>
      <c r="AD72" t="s">
        <v>54</v>
      </c>
      <c r="AE72" t="s">
        <v>55</v>
      </c>
      <c r="AF72" t="s">
        <v>320</v>
      </c>
      <c r="AG72" t="s">
        <v>57</v>
      </c>
      <c r="AH72">
        <v>84</v>
      </c>
      <c r="AI72" t="s">
        <v>58</v>
      </c>
    </row>
    <row r="73" spans="1:35" x14ac:dyDescent="0.35">
      <c r="A73" t="s">
        <v>310</v>
      </c>
      <c r="B73" t="s">
        <v>335</v>
      </c>
      <c r="C73" s="1">
        <v>45565</v>
      </c>
      <c r="D73" s="1">
        <v>45554</v>
      </c>
      <c r="F73" t="s">
        <v>37</v>
      </c>
      <c r="H73" t="s">
        <v>60</v>
      </c>
      <c r="J73" t="s">
        <v>312</v>
      </c>
      <c r="K73" t="s">
        <v>313</v>
      </c>
      <c r="L73" t="s">
        <v>314</v>
      </c>
      <c r="M73" t="s">
        <v>42</v>
      </c>
      <c r="N73" s="1">
        <v>45420</v>
      </c>
      <c r="P73" t="s">
        <v>336</v>
      </c>
      <c r="Q73" t="s">
        <v>44</v>
      </c>
      <c r="R73" t="s">
        <v>340</v>
      </c>
      <c r="S73" t="s">
        <v>341</v>
      </c>
      <c r="T73" t="s">
        <v>318</v>
      </c>
      <c r="V73" t="s">
        <v>48</v>
      </c>
      <c r="W73" t="s">
        <v>318</v>
      </c>
      <c r="X73" t="s">
        <v>49</v>
      </c>
      <c r="Y73" t="s">
        <v>49</v>
      </c>
      <c r="Z73" t="s">
        <v>104</v>
      </c>
      <c r="AA73" t="s">
        <v>105</v>
      </c>
      <c r="AB73" t="s">
        <v>161</v>
      </c>
      <c r="AC73" t="s">
        <v>78</v>
      </c>
      <c r="AD73" t="s">
        <v>54</v>
      </c>
      <c r="AE73" t="s">
        <v>55</v>
      </c>
      <c r="AF73" t="s">
        <v>320</v>
      </c>
      <c r="AG73" t="s">
        <v>57</v>
      </c>
      <c r="AH73">
        <v>84</v>
      </c>
      <c r="AI73" t="s">
        <v>58</v>
      </c>
    </row>
    <row r="74" spans="1:35" x14ac:dyDescent="0.35">
      <c r="A74" t="s">
        <v>310</v>
      </c>
      <c r="B74" t="s">
        <v>342</v>
      </c>
      <c r="C74" s="1">
        <v>45503</v>
      </c>
      <c r="D74" s="1">
        <v>45489</v>
      </c>
      <c r="F74" t="s">
        <v>37</v>
      </c>
      <c r="H74" t="s">
        <v>60</v>
      </c>
      <c r="J74" t="s">
        <v>312</v>
      </c>
      <c r="K74" t="s">
        <v>313</v>
      </c>
      <c r="L74" t="s">
        <v>314</v>
      </c>
      <c r="M74" t="s">
        <v>42</v>
      </c>
      <c r="N74" s="1">
        <v>45420</v>
      </c>
      <c r="P74" t="s">
        <v>343</v>
      </c>
      <c r="Q74" t="s">
        <v>44</v>
      </c>
      <c r="R74" t="s">
        <v>344</v>
      </c>
      <c r="S74" t="s">
        <v>345</v>
      </c>
      <c r="T74" t="s">
        <v>318</v>
      </c>
      <c r="V74" t="s">
        <v>48</v>
      </c>
      <c r="W74" t="s">
        <v>318</v>
      </c>
      <c r="X74" t="s">
        <v>49</v>
      </c>
      <c r="Y74" t="s">
        <v>49</v>
      </c>
      <c r="Z74" t="s">
        <v>144</v>
      </c>
      <c r="AA74" t="s">
        <v>145</v>
      </c>
      <c r="AB74" t="s">
        <v>146</v>
      </c>
      <c r="AC74" t="s">
        <v>78</v>
      </c>
      <c r="AD74" t="s">
        <v>54</v>
      </c>
      <c r="AE74" t="s">
        <v>55</v>
      </c>
      <c r="AF74" t="s">
        <v>320</v>
      </c>
      <c r="AG74" t="s">
        <v>57</v>
      </c>
      <c r="AH74">
        <v>84</v>
      </c>
      <c r="AI74" t="s">
        <v>58</v>
      </c>
    </row>
    <row r="75" spans="1:35" x14ac:dyDescent="0.35">
      <c r="A75" t="s">
        <v>310</v>
      </c>
      <c r="B75" t="s">
        <v>342</v>
      </c>
      <c r="C75" s="1">
        <v>45503</v>
      </c>
      <c r="D75" s="1">
        <v>45489</v>
      </c>
      <c r="F75" t="s">
        <v>37</v>
      </c>
      <c r="H75" t="s">
        <v>60</v>
      </c>
      <c r="J75" t="s">
        <v>312</v>
      </c>
      <c r="K75" t="s">
        <v>313</v>
      </c>
      <c r="L75" t="s">
        <v>314</v>
      </c>
      <c r="M75" t="s">
        <v>42</v>
      </c>
      <c r="N75" s="1">
        <v>45420</v>
      </c>
      <c r="P75" t="s">
        <v>343</v>
      </c>
      <c r="Q75" t="s">
        <v>44</v>
      </c>
      <c r="R75" t="s">
        <v>346</v>
      </c>
      <c r="S75" t="s">
        <v>347</v>
      </c>
      <c r="T75" t="s">
        <v>318</v>
      </c>
      <c r="V75" t="s">
        <v>48</v>
      </c>
      <c r="W75" t="s">
        <v>318</v>
      </c>
      <c r="X75" t="s">
        <v>49</v>
      </c>
      <c r="Y75" t="s">
        <v>49</v>
      </c>
      <c r="Z75" t="s">
        <v>144</v>
      </c>
      <c r="AA75" t="s">
        <v>145</v>
      </c>
      <c r="AB75" t="s">
        <v>146</v>
      </c>
      <c r="AC75" t="s">
        <v>78</v>
      </c>
      <c r="AD75" t="s">
        <v>54</v>
      </c>
      <c r="AE75" t="s">
        <v>55</v>
      </c>
      <c r="AF75" t="s">
        <v>320</v>
      </c>
      <c r="AG75" t="s">
        <v>57</v>
      </c>
      <c r="AH75">
        <v>84</v>
      </c>
      <c r="AI75" t="s">
        <v>58</v>
      </c>
    </row>
    <row r="76" spans="1:35" x14ac:dyDescent="0.35">
      <c r="A76" t="s">
        <v>310</v>
      </c>
      <c r="B76" t="s">
        <v>342</v>
      </c>
      <c r="C76" s="1">
        <v>45503</v>
      </c>
      <c r="D76" s="1">
        <v>45489</v>
      </c>
      <c r="F76" t="s">
        <v>37</v>
      </c>
      <c r="H76" t="s">
        <v>60</v>
      </c>
      <c r="J76" t="s">
        <v>312</v>
      </c>
      <c r="K76" t="s">
        <v>313</v>
      </c>
      <c r="L76" t="s">
        <v>314</v>
      </c>
      <c r="M76" t="s">
        <v>42</v>
      </c>
      <c r="N76" s="1">
        <v>45420</v>
      </c>
      <c r="P76" t="s">
        <v>343</v>
      </c>
      <c r="Q76" t="s">
        <v>44</v>
      </c>
      <c r="R76" t="s">
        <v>348</v>
      </c>
      <c r="S76" t="s">
        <v>349</v>
      </c>
      <c r="T76" t="s">
        <v>318</v>
      </c>
      <c r="V76" t="s">
        <v>48</v>
      </c>
      <c r="W76" t="s">
        <v>318</v>
      </c>
      <c r="X76" t="s">
        <v>49</v>
      </c>
      <c r="Y76" t="s">
        <v>49</v>
      </c>
      <c r="Z76" t="s">
        <v>144</v>
      </c>
      <c r="AA76" t="s">
        <v>145</v>
      </c>
      <c r="AB76" t="s">
        <v>146</v>
      </c>
      <c r="AC76" t="s">
        <v>78</v>
      </c>
      <c r="AD76" t="s">
        <v>54</v>
      </c>
      <c r="AE76" t="s">
        <v>55</v>
      </c>
      <c r="AF76" t="s">
        <v>320</v>
      </c>
      <c r="AG76" t="s">
        <v>57</v>
      </c>
      <c r="AH76">
        <v>84</v>
      </c>
      <c r="AI76" t="s">
        <v>58</v>
      </c>
    </row>
    <row r="77" spans="1:35" x14ac:dyDescent="0.35">
      <c r="A77" t="s">
        <v>310</v>
      </c>
      <c r="B77" t="s">
        <v>342</v>
      </c>
      <c r="C77" s="1">
        <v>45503</v>
      </c>
      <c r="D77" s="1">
        <v>45489</v>
      </c>
      <c r="F77" t="s">
        <v>37</v>
      </c>
      <c r="H77" t="s">
        <v>60</v>
      </c>
      <c r="J77" t="s">
        <v>312</v>
      </c>
      <c r="K77" t="s">
        <v>313</v>
      </c>
      <c r="L77" t="s">
        <v>314</v>
      </c>
      <c r="M77" t="s">
        <v>42</v>
      </c>
      <c r="N77" s="1">
        <v>45420</v>
      </c>
      <c r="P77" t="s">
        <v>343</v>
      </c>
      <c r="Q77" t="s">
        <v>44</v>
      </c>
      <c r="R77" t="s">
        <v>350</v>
      </c>
      <c r="S77" t="s">
        <v>351</v>
      </c>
      <c r="T77" t="s">
        <v>318</v>
      </c>
      <c r="V77" t="s">
        <v>48</v>
      </c>
      <c r="W77" t="s">
        <v>318</v>
      </c>
      <c r="X77" t="s">
        <v>49</v>
      </c>
      <c r="Y77" t="s">
        <v>49</v>
      </c>
      <c r="Z77" t="s">
        <v>144</v>
      </c>
      <c r="AA77" t="s">
        <v>145</v>
      </c>
      <c r="AB77" t="s">
        <v>146</v>
      </c>
      <c r="AC77" t="s">
        <v>78</v>
      </c>
      <c r="AD77" t="s">
        <v>54</v>
      </c>
      <c r="AE77" t="s">
        <v>55</v>
      </c>
      <c r="AF77" t="s">
        <v>320</v>
      </c>
      <c r="AG77" t="s">
        <v>57</v>
      </c>
      <c r="AH77">
        <v>84</v>
      </c>
      <c r="AI77" t="s">
        <v>58</v>
      </c>
    </row>
    <row r="78" spans="1:35" x14ac:dyDescent="0.35">
      <c r="A78" t="s">
        <v>310</v>
      </c>
      <c r="B78" t="s">
        <v>342</v>
      </c>
      <c r="C78" s="1">
        <v>45503</v>
      </c>
      <c r="D78" s="1">
        <v>45489</v>
      </c>
      <c r="F78" t="s">
        <v>37</v>
      </c>
      <c r="H78" t="s">
        <v>60</v>
      </c>
      <c r="J78" t="s">
        <v>312</v>
      </c>
      <c r="K78" t="s">
        <v>313</v>
      </c>
      <c r="L78" t="s">
        <v>314</v>
      </c>
      <c r="M78" t="s">
        <v>42</v>
      </c>
      <c r="N78" s="1">
        <v>45420</v>
      </c>
      <c r="P78" t="s">
        <v>343</v>
      </c>
      <c r="Q78" t="s">
        <v>44</v>
      </c>
      <c r="R78" t="s">
        <v>352</v>
      </c>
      <c r="S78" t="s">
        <v>353</v>
      </c>
      <c r="T78" t="s">
        <v>318</v>
      </c>
      <c r="V78" t="s">
        <v>48</v>
      </c>
      <c r="W78" t="s">
        <v>318</v>
      </c>
      <c r="X78" t="s">
        <v>49</v>
      </c>
      <c r="Y78" t="s">
        <v>49</v>
      </c>
      <c r="Z78" t="s">
        <v>144</v>
      </c>
      <c r="AA78" t="s">
        <v>145</v>
      </c>
      <c r="AB78" t="s">
        <v>146</v>
      </c>
      <c r="AC78" t="s">
        <v>78</v>
      </c>
      <c r="AD78" t="s">
        <v>54</v>
      </c>
      <c r="AE78" t="s">
        <v>55</v>
      </c>
      <c r="AF78" t="s">
        <v>320</v>
      </c>
      <c r="AG78" t="s">
        <v>57</v>
      </c>
      <c r="AH78">
        <v>84</v>
      </c>
      <c r="AI78" t="s">
        <v>58</v>
      </c>
    </row>
    <row r="79" spans="1:35" x14ac:dyDescent="0.35">
      <c r="A79" t="s">
        <v>310</v>
      </c>
      <c r="B79" t="s">
        <v>342</v>
      </c>
      <c r="C79" s="1">
        <v>45503</v>
      </c>
      <c r="D79" s="1">
        <v>45489</v>
      </c>
      <c r="F79" t="s">
        <v>37</v>
      </c>
      <c r="H79" t="s">
        <v>60</v>
      </c>
      <c r="J79" t="s">
        <v>312</v>
      </c>
      <c r="K79" t="s">
        <v>313</v>
      </c>
      <c r="L79" t="s">
        <v>314</v>
      </c>
      <c r="M79" t="s">
        <v>42</v>
      </c>
      <c r="N79" s="1">
        <v>45420</v>
      </c>
      <c r="P79" t="s">
        <v>343</v>
      </c>
      <c r="Q79" t="s">
        <v>44</v>
      </c>
      <c r="R79" t="s">
        <v>354</v>
      </c>
      <c r="S79" t="s">
        <v>355</v>
      </c>
      <c r="T79" t="s">
        <v>318</v>
      </c>
      <c r="V79" t="s">
        <v>48</v>
      </c>
      <c r="W79" t="s">
        <v>318</v>
      </c>
      <c r="X79" t="s">
        <v>49</v>
      </c>
      <c r="Y79" t="s">
        <v>49</v>
      </c>
      <c r="Z79" t="s">
        <v>144</v>
      </c>
      <c r="AA79" t="s">
        <v>145</v>
      </c>
      <c r="AB79" t="s">
        <v>146</v>
      </c>
      <c r="AC79" t="s">
        <v>78</v>
      </c>
      <c r="AD79" t="s">
        <v>54</v>
      </c>
      <c r="AE79" t="s">
        <v>55</v>
      </c>
      <c r="AF79" t="s">
        <v>320</v>
      </c>
      <c r="AG79" t="s">
        <v>57</v>
      </c>
      <c r="AH79">
        <v>84</v>
      </c>
      <c r="AI79" t="s">
        <v>58</v>
      </c>
    </row>
    <row r="80" spans="1:35" x14ac:dyDescent="0.35">
      <c r="A80" t="s">
        <v>310</v>
      </c>
      <c r="B80" t="s">
        <v>356</v>
      </c>
      <c r="C80" s="1">
        <v>45490</v>
      </c>
      <c r="D80" s="1">
        <v>45489</v>
      </c>
      <c r="F80" t="s">
        <v>37</v>
      </c>
      <c r="H80" t="s">
        <v>60</v>
      </c>
      <c r="J80" t="s">
        <v>312</v>
      </c>
      <c r="K80" t="s">
        <v>313</v>
      </c>
      <c r="L80" t="s">
        <v>314</v>
      </c>
      <c r="M80" t="s">
        <v>42</v>
      </c>
      <c r="N80" s="1">
        <v>45420</v>
      </c>
      <c r="P80" t="s">
        <v>357</v>
      </c>
      <c r="Q80" t="s">
        <v>44</v>
      </c>
      <c r="R80" t="s">
        <v>358</v>
      </c>
      <c r="S80" t="s">
        <v>359</v>
      </c>
      <c r="T80" t="s">
        <v>318</v>
      </c>
      <c r="V80" t="s">
        <v>48</v>
      </c>
      <c r="W80" t="s">
        <v>318</v>
      </c>
      <c r="X80" t="s">
        <v>49</v>
      </c>
      <c r="Y80" t="s">
        <v>49</v>
      </c>
      <c r="Z80" t="s">
        <v>360</v>
      </c>
      <c r="AA80" t="s">
        <v>361</v>
      </c>
      <c r="AB80" t="s">
        <v>52</v>
      </c>
      <c r="AC80" t="s">
        <v>78</v>
      </c>
      <c r="AD80" t="s">
        <v>54</v>
      </c>
      <c r="AE80" t="s">
        <v>55</v>
      </c>
      <c r="AF80" t="s">
        <v>320</v>
      </c>
      <c r="AG80" t="s">
        <v>57</v>
      </c>
      <c r="AH80">
        <v>84</v>
      </c>
      <c r="AI80" t="s">
        <v>58</v>
      </c>
    </row>
    <row r="81" spans="1:35" x14ac:dyDescent="0.35">
      <c r="A81" t="s">
        <v>310</v>
      </c>
      <c r="B81" t="s">
        <v>356</v>
      </c>
      <c r="C81" s="1">
        <v>45490</v>
      </c>
      <c r="D81" s="1">
        <v>45489</v>
      </c>
      <c r="F81" t="s">
        <v>37</v>
      </c>
      <c r="H81" t="s">
        <v>60</v>
      </c>
      <c r="J81" t="s">
        <v>312</v>
      </c>
      <c r="K81" t="s">
        <v>313</v>
      </c>
      <c r="L81" t="s">
        <v>314</v>
      </c>
      <c r="M81" t="s">
        <v>42</v>
      </c>
      <c r="N81" s="1">
        <v>45420</v>
      </c>
      <c r="P81" t="s">
        <v>357</v>
      </c>
      <c r="Q81" t="s">
        <v>44</v>
      </c>
      <c r="R81" t="s">
        <v>362</v>
      </c>
      <c r="S81" t="s">
        <v>359</v>
      </c>
      <c r="T81" t="s">
        <v>318</v>
      </c>
      <c r="V81" t="s">
        <v>48</v>
      </c>
      <c r="W81" t="s">
        <v>318</v>
      </c>
      <c r="X81" t="s">
        <v>49</v>
      </c>
      <c r="Y81" t="s">
        <v>49</v>
      </c>
      <c r="Z81" t="s">
        <v>360</v>
      </c>
      <c r="AA81" t="s">
        <v>361</v>
      </c>
      <c r="AB81" t="s">
        <v>52</v>
      </c>
      <c r="AC81" t="s">
        <v>78</v>
      </c>
      <c r="AD81" t="s">
        <v>54</v>
      </c>
      <c r="AE81" t="s">
        <v>55</v>
      </c>
      <c r="AF81" t="s">
        <v>320</v>
      </c>
      <c r="AG81" t="s">
        <v>57</v>
      </c>
      <c r="AH81">
        <v>84</v>
      </c>
      <c r="AI81" t="s">
        <v>58</v>
      </c>
    </row>
    <row r="82" spans="1:35" x14ac:dyDescent="0.35">
      <c r="A82" t="s">
        <v>310</v>
      </c>
      <c r="B82" t="s">
        <v>356</v>
      </c>
      <c r="C82" s="1">
        <v>45490</v>
      </c>
      <c r="D82" s="1">
        <v>45489</v>
      </c>
      <c r="F82" t="s">
        <v>37</v>
      </c>
      <c r="H82" t="s">
        <v>60</v>
      </c>
      <c r="J82" t="s">
        <v>312</v>
      </c>
      <c r="K82" t="s">
        <v>313</v>
      </c>
      <c r="L82" t="s">
        <v>314</v>
      </c>
      <c r="M82" t="s">
        <v>42</v>
      </c>
      <c r="N82" s="1">
        <v>45420</v>
      </c>
      <c r="P82" t="s">
        <v>357</v>
      </c>
      <c r="Q82" t="s">
        <v>44</v>
      </c>
      <c r="R82" t="s">
        <v>363</v>
      </c>
      <c r="S82" t="s">
        <v>364</v>
      </c>
      <c r="T82" t="s">
        <v>318</v>
      </c>
      <c r="V82" t="s">
        <v>48</v>
      </c>
      <c r="W82" t="s">
        <v>318</v>
      </c>
      <c r="X82" t="s">
        <v>49</v>
      </c>
      <c r="Y82" t="s">
        <v>49</v>
      </c>
      <c r="Z82" t="s">
        <v>360</v>
      </c>
      <c r="AA82" t="s">
        <v>361</v>
      </c>
      <c r="AB82" t="s">
        <v>52</v>
      </c>
      <c r="AC82" t="s">
        <v>78</v>
      </c>
      <c r="AD82" t="s">
        <v>54</v>
      </c>
      <c r="AE82" t="s">
        <v>55</v>
      </c>
      <c r="AF82" t="s">
        <v>320</v>
      </c>
      <c r="AG82" t="s">
        <v>57</v>
      </c>
      <c r="AH82">
        <v>84</v>
      </c>
      <c r="AI82" t="s">
        <v>58</v>
      </c>
    </row>
    <row r="83" spans="1:35" x14ac:dyDescent="0.35">
      <c r="A83" t="s">
        <v>310</v>
      </c>
      <c r="B83" t="s">
        <v>365</v>
      </c>
      <c r="C83" s="1">
        <v>45565</v>
      </c>
      <c r="D83" s="1">
        <v>45518</v>
      </c>
      <c r="F83" t="s">
        <v>37</v>
      </c>
      <c r="H83" t="s">
        <v>60</v>
      </c>
      <c r="J83" t="s">
        <v>312</v>
      </c>
      <c r="K83" t="s">
        <v>313</v>
      </c>
      <c r="L83" t="s">
        <v>314</v>
      </c>
      <c r="M83" t="s">
        <v>42</v>
      </c>
      <c r="N83" s="1">
        <v>45420</v>
      </c>
      <c r="P83" t="s">
        <v>366</v>
      </c>
      <c r="Q83" t="s">
        <v>44</v>
      </c>
      <c r="R83" t="s">
        <v>367</v>
      </c>
      <c r="S83" t="s">
        <v>368</v>
      </c>
      <c r="T83" t="s">
        <v>318</v>
      </c>
      <c r="V83" t="s">
        <v>48</v>
      </c>
      <c r="W83" t="s">
        <v>318</v>
      </c>
      <c r="X83" t="s">
        <v>369</v>
      </c>
      <c r="Y83" t="s">
        <v>49</v>
      </c>
      <c r="Z83" t="s">
        <v>151</v>
      </c>
      <c r="AA83" t="s">
        <v>152</v>
      </c>
      <c r="AB83" t="s">
        <v>52</v>
      </c>
      <c r="AC83" t="s">
        <v>67</v>
      </c>
      <c r="AD83" t="s">
        <v>54</v>
      </c>
      <c r="AE83" t="s">
        <v>55</v>
      </c>
      <c r="AF83" t="s">
        <v>320</v>
      </c>
      <c r="AG83" t="s">
        <v>57</v>
      </c>
      <c r="AH83">
        <v>84</v>
      </c>
      <c r="AI83" t="s">
        <v>58</v>
      </c>
    </row>
    <row r="84" spans="1:35" x14ac:dyDescent="0.35">
      <c r="A84" t="s">
        <v>310</v>
      </c>
      <c r="B84" t="s">
        <v>365</v>
      </c>
      <c r="C84" s="1">
        <v>45565</v>
      </c>
      <c r="D84" s="1">
        <v>45518</v>
      </c>
      <c r="F84" t="s">
        <v>37</v>
      </c>
      <c r="H84" t="s">
        <v>60</v>
      </c>
      <c r="J84" t="s">
        <v>312</v>
      </c>
      <c r="K84" t="s">
        <v>313</v>
      </c>
      <c r="L84" t="s">
        <v>314</v>
      </c>
      <c r="M84" t="s">
        <v>42</v>
      </c>
      <c r="N84" s="1">
        <v>45420</v>
      </c>
      <c r="P84" t="s">
        <v>366</v>
      </c>
      <c r="Q84" t="s">
        <v>44</v>
      </c>
      <c r="R84" t="s">
        <v>370</v>
      </c>
      <c r="S84" t="s">
        <v>371</v>
      </c>
      <c r="T84" t="s">
        <v>318</v>
      </c>
      <c r="V84" t="s">
        <v>48</v>
      </c>
      <c r="W84" t="s">
        <v>318</v>
      </c>
      <c r="X84" t="s">
        <v>369</v>
      </c>
      <c r="Y84" t="s">
        <v>49</v>
      </c>
      <c r="Z84" t="s">
        <v>151</v>
      </c>
      <c r="AA84" t="s">
        <v>152</v>
      </c>
      <c r="AB84" t="s">
        <v>52</v>
      </c>
      <c r="AC84" t="s">
        <v>67</v>
      </c>
      <c r="AD84" t="s">
        <v>54</v>
      </c>
      <c r="AE84" t="s">
        <v>55</v>
      </c>
      <c r="AF84" t="s">
        <v>320</v>
      </c>
      <c r="AG84" t="s">
        <v>57</v>
      </c>
      <c r="AH84">
        <v>84</v>
      </c>
      <c r="AI84" t="s">
        <v>58</v>
      </c>
    </row>
    <row r="85" spans="1:35" x14ac:dyDescent="0.35">
      <c r="A85" t="s">
        <v>310</v>
      </c>
      <c r="B85" t="s">
        <v>365</v>
      </c>
      <c r="C85" s="1">
        <v>45565</v>
      </c>
      <c r="D85" s="1">
        <v>45518</v>
      </c>
      <c r="F85" t="s">
        <v>37</v>
      </c>
      <c r="H85" t="s">
        <v>60</v>
      </c>
      <c r="J85" t="s">
        <v>312</v>
      </c>
      <c r="K85" t="s">
        <v>313</v>
      </c>
      <c r="L85" t="s">
        <v>314</v>
      </c>
      <c r="M85" t="s">
        <v>42</v>
      </c>
      <c r="N85" s="1">
        <v>45420</v>
      </c>
      <c r="P85" t="s">
        <v>366</v>
      </c>
      <c r="Q85" t="s">
        <v>44</v>
      </c>
      <c r="R85" t="s">
        <v>372</v>
      </c>
      <c r="S85" t="s">
        <v>373</v>
      </c>
      <c r="T85" t="s">
        <v>318</v>
      </c>
      <c r="V85" t="s">
        <v>48</v>
      </c>
      <c r="W85" t="s">
        <v>318</v>
      </c>
      <c r="X85" t="s">
        <v>369</v>
      </c>
      <c r="Y85" t="s">
        <v>49</v>
      </c>
      <c r="Z85" t="s">
        <v>151</v>
      </c>
      <c r="AA85" t="s">
        <v>152</v>
      </c>
      <c r="AB85" t="s">
        <v>52</v>
      </c>
      <c r="AC85" t="s">
        <v>67</v>
      </c>
      <c r="AD85" t="s">
        <v>54</v>
      </c>
      <c r="AE85" t="s">
        <v>55</v>
      </c>
      <c r="AF85" t="s">
        <v>320</v>
      </c>
      <c r="AG85" t="s">
        <v>57</v>
      </c>
      <c r="AH85">
        <v>84</v>
      </c>
      <c r="AI85" t="s">
        <v>58</v>
      </c>
    </row>
    <row r="86" spans="1:35" x14ac:dyDescent="0.35">
      <c r="A86" t="s">
        <v>310</v>
      </c>
      <c r="B86" t="s">
        <v>374</v>
      </c>
      <c r="C86" s="1">
        <v>45490</v>
      </c>
      <c r="D86" s="1">
        <v>45497</v>
      </c>
      <c r="F86" t="s">
        <v>140</v>
      </c>
      <c r="H86" t="s">
        <v>38</v>
      </c>
      <c r="J86" t="s">
        <v>312</v>
      </c>
      <c r="K86" t="s">
        <v>313</v>
      </c>
      <c r="L86" t="s">
        <v>314</v>
      </c>
      <c r="M86" t="s">
        <v>42</v>
      </c>
      <c r="N86" s="1">
        <v>45420</v>
      </c>
      <c r="P86" t="s">
        <v>375</v>
      </c>
      <c r="Q86" t="s">
        <v>44</v>
      </c>
      <c r="R86" t="s">
        <v>376</v>
      </c>
      <c r="S86" t="s">
        <v>377</v>
      </c>
      <c r="T86" t="s">
        <v>318</v>
      </c>
      <c r="V86" t="s">
        <v>48</v>
      </c>
      <c r="W86" t="s">
        <v>318</v>
      </c>
      <c r="X86" t="s">
        <v>49</v>
      </c>
      <c r="Y86" t="s">
        <v>49</v>
      </c>
      <c r="Z86" t="s">
        <v>83</v>
      </c>
      <c r="AA86" t="s">
        <v>99</v>
      </c>
      <c r="AB86" t="s">
        <v>52</v>
      </c>
      <c r="AC86" t="s">
        <v>78</v>
      </c>
      <c r="AD86" t="s">
        <v>54</v>
      </c>
      <c r="AE86" t="s">
        <v>55</v>
      </c>
      <c r="AF86" t="s">
        <v>320</v>
      </c>
      <c r="AG86" t="s">
        <v>57</v>
      </c>
      <c r="AH86">
        <v>84</v>
      </c>
      <c r="AI86" t="s">
        <v>58</v>
      </c>
    </row>
    <row r="87" spans="1:35" x14ac:dyDescent="0.35">
      <c r="A87" t="s">
        <v>310</v>
      </c>
      <c r="B87" t="s">
        <v>378</v>
      </c>
      <c r="C87" s="1">
        <v>45490</v>
      </c>
      <c r="D87" s="1">
        <v>45489</v>
      </c>
      <c r="F87" t="s">
        <v>37</v>
      </c>
      <c r="H87" t="s">
        <v>38</v>
      </c>
      <c r="J87" t="s">
        <v>312</v>
      </c>
      <c r="K87" t="s">
        <v>313</v>
      </c>
      <c r="L87" t="s">
        <v>314</v>
      </c>
      <c r="M87" t="s">
        <v>42</v>
      </c>
      <c r="N87" s="1">
        <v>45420</v>
      </c>
      <c r="P87" t="s">
        <v>379</v>
      </c>
      <c r="Q87" t="s">
        <v>44</v>
      </c>
      <c r="R87" t="s">
        <v>380</v>
      </c>
      <c r="S87" t="s">
        <v>381</v>
      </c>
      <c r="T87" t="s">
        <v>318</v>
      </c>
      <c r="V87" t="s">
        <v>48</v>
      </c>
      <c r="W87" t="s">
        <v>318</v>
      </c>
      <c r="X87" t="s">
        <v>49</v>
      </c>
      <c r="Y87" t="s">
        <v>49</v>
      </c>
      <c r="Z87" t="s">
        <v>50</v>
      </c>
      <c r="AA87" t="s">
        <v>51</v>
      </c>
      <c r="AB87" t="s">
        <v>52</v>
      </c>
      <c r="AC87" t="s">
        <v>78</v>
      </c>
      <c r="AD87" t="s">
        <v>54</v>
      </c>
      <c r="AE87" t="s">
        <v>55</v>
      </c>
      <c r="AF87" t="s">
        <v>320</v>
      </c>
      <c r="AG87" t="s">
        <v>57</v>
      </c>
      <c r="AH87">
        <v>84</v>
      </c>
      <c r="AI87" t="s">
        <v>58</v>
      </c>
    </row>
    <row r="88" spans="1:35" x14ac:dyDescent="0.35">
      <c r="A88" t="s">
        <v>310</v>
      </c>
      <c r="B88" t="s">
        <v>378</v>
      </c>
      <c r="C88" s="1">
        <v>45490</v>
      </c>
      <c r="D88" s="1">
        <v>45489</v>
      </c>
      <c r="F88" t="s">
        <v>37</v>
      </c>
      <c r="H88" t="s">
        <v>38</v>
      </c>
      <c r="J88" t="s">
        <v>312</v>
      </c>
      <c r="K88" t="s">
        <v>313</v>
      </c>
      <c r="L88" t="s">
        <v>314</v>
      </c>
      <c r="M88" t="s">
        <v>42</v>
      </c>
      <c r="N88" s="1">
        <v>45420</v>
      </c>
      <c r="P88" t="s">
        <v>379</v>
      </c>
      <c r="Q88" t="s">
        <v>44</v>
      </c>
      <c r="R88" t="s">
        <v>380</v>
      </c>
      <c r="S88" t="s">
        <v>381</v>
      </c>
      <c r="T88" t="s">
        <v>318</v>
      </c>
      <c r="V88" t="s">
        <v>48</v>
      </c>
      <c r="W88" t="s">
        <v>318</v>
      </c>
      <c r="X88" t="s">
        <v>49</v>
      </c>
      <c r="Y88" t="s">
        <v>49</v>
      </c>
      <c r="Z88" t="s">
        <v>50</v>
      </c>
      <c r="AA88" t="s">
        <v>51</v>
      </c>
      <c r="AB88" t="s">
        <v>52</v>
      </c>
      <c r="AC88" t="s">
        <v>53</v>
      </c>
      <c r="AD88" t="s">
        <v>54</v>
      </c>
      <c r="AE88" t="s">
        <v>55</v>
      </c>
      <c r="AF88" t="s">
        <v>320</v>
      </c>
      <c r="AG88" t="s">
        <v>57</v>
      </c>
      <c r="AH88">
        <v>84</v>
      </c>
      <c r="AI88" t="s">
        <v>58</v>
      </c>
    </row>
    <row r="89" spans="1:35" x14ac:dyDescent="0.35">
      <c r="A89" t="s">
        <v>310</v>
      </c>
      <c r="B89" t="s">
        <v>382</v>
      </c>
      <c r="C89" s="1">
        <v>45490</v>
      </c>
      <c r="D89" s="1">
        <v>45489</v>
      </c>
      <c r="F89" t="s">
        <v>37</v>
      </c>
      <c r="H89" t="s">
        <v>38</v>
      </c>
      <c r="J89" t="s">
        <v>312</v>
      </c>
      <c r="K89" t="s">
        <v>313</v>
      </c>
      <c r="L89" t="s">
        <v>314</v>
      </c>
      <c r="M89" t="s">
        <v>42</v>
      </c>
      <c r="N89" s="1">
        <v>45420</v>
      </c>
      <c r="P89" t="s">
        <v>383</v>
      </c>
      <c r="Q89" t="s">
        <v>44</v>
      </c>
      <c r="R89" t="s">
        <v>384</v>
      </c>
      <c r="S89" t="s">
        <v>385</v>
      </c>
      <c r="T89" t="s">
        <v>318</v>
      </c>
      <c r="V89" t="s">
        <v>48</v>
      </c>
      <c r="W89" t="s">
        <v>318</v>
      </c>
      <c r="X89" t="s">
        <v>49</v>
      </c>
      <c r="Y89" t="s">
        <v>49</v>
      </c>
      <c r="Z89" t="s">
        <v>282</v>
      </c>
      <c r="AA89" t="s">
        <v>386</v>
      </c>
      <c r="AB89" t="s">
        <v>387</v>
      </c>
      <c r="AC89" t="s">
        <v>67</v>
      </c>
      <c r="AD89" t="s">
        <v>54</v>
      </c>
      <c r="AE89" t="s">
        <v>55</v>
      </c>
      <c r="AF89" t="s">
        <v>320</v>
      </c>
      <c r="AG89" t="s">
        <v>57</v>
      </c>
      <c r="AH89">
        <v>84</v>
      </c>
      <c r="AI89" t="s">
        <v>58</v>
      </c>
    </row>
    <row r="90" spans="1:35" x14ac:dyDescent="0.35">
      <c r="A90" t="s">
        <v>310</v>
      </c>
      <c r="B90" t="s">
        <v>382</v>
      </c>
      <c r="C90" s="1">
        <v>45490</v>
      </c>
      <c r="D90" s="1">
        <v>45489</v>
      </c>
      <c r="F90" t="s">
        <v>37</v>
      </c>
      <c r="H90" t="s">
        <v>38</v>
      </c>
      <c r="J90" t="s">
        <v>312</v>
      </c>
      <c r="K90" t="s">
        <v>313</v>
      </c>
      <c r="L90" t="s">
        <v>314</v>
      </c>
      <c r="M90" t="s">
        <v>42</v>
      </c>
      <c r="N90" s="1">
        <v>45420</v>
      </c>
      <c r="P90" t="s">
        <v>383</v>
      </c>
      <c r="Q90" t="s">
        <v>44</v>
      </c>
      <c r="R90" t="s">
        <v>384</v>
      </c>
      <c r="S90" t="s">
        <v>385</v>
      </c>
      <c r="T90" t="s">
        <v>318</v>
      </c>
      <c r="V90" t="s">
        <v>48</v>
      </c>
      <c r="W90" t="s">
        <v>318</v>
      </c>
      <c r="X90" t="s">
        <v>49</v>
      </c>
      <c r="Y90" t="s">
        <v>49</v>
      </c>
      <c r="Z90" t="s">
        <v>282</v>
      </c>
      <c r="AA90" t="s">
        <v>386</v>
      </c>
      <c r="AB90" t="s">
        <v>387</v>
      </c>
      <c r="AC90" t="s">
        <v>78</v>
      </c>
      <c r="AD90" t="s">
        <v>54</v>
      </c>
      <c r="AE90" t="s">
        <v>55</v>
      </c>
      <c r="AF90" t="s">
        <v>320</v>
      </c>
      <c r="AG90" t="s">
        <v>57</v>
      </c>
      <c r="AH90">
        <v>84</v>
      </c>
      <c r="AI90" t="s">
        <v>58</v>
      </c>
    </row>
    <row r="91" spans="1:35" x14ac:dyDescent="0.35">
      <c r="A91" t="s">
        <v>388</v>
      </c>
      <c r="B91" t="s">
        <v>389</v>
      </c>
      <c r="C91" s="1">
        <v>45565</v>
      </c>
      <c r="D91" s="1">
        <v>45553</v>
      </c>
      <c r="F91" t="s">
        <v>37</v>
      </c>
      <c r="H91" t="s">
        <v>38</v>
      </c>
      <c r="J91" t="s">
        <v>390</v>
      </c>
      <c r="K91" t="s">
        <v>391</v>
      </c>
      <c r="L91" t="s">
        <v>392</v>
      </c>
      <c r="M91" t="s">
        <v>42</v>
      </c>
      <c r="N91" s="1">
        <v>45475</v>
      </c>
      <c r="P91" t="s">
        <v>393</v>
      </c>
      <c r="Q91" t="s">
        <v>44</v>
      </c>
      <c r="R91" t="s">
        <v>394</v>
      </c>
      <c r="S91" t="s">
        <v>395</v>
      </c>
      <c r="T91" t="s">
        <v>396</v>
      </c>
      <c r="V91" t="s">
        <v>48</v>
      </c>
      <c r="W91" t="s">
        <v>396</v>
      </c>
      <c r="X91" t="s">
        <v>49</v>
      </c>
      <c r="Y91" t="s">
        <v>49</v>
      </c>
      <c r="Z91" t="s">
        <v>83</v>
      </c>
      <c r="AA91" t="s">
        <v>99</v>
      </c>
      <c r="AB91" t="s">
        <v>52</v>
      </c>
      <c r="AC91" t="s">
        <v>67</v>
      </c>
      <c r="AD91" t="s">
        <v>54</v>
      </c>
      <c r="AE91" t="s">
        <v>55</v>
      </c>
      <c r="AF91" t="s">
        <v>397</v>
      </c>
      <c r="AG91" t="s">
        <v>57</v>
      </c>
      <c r="AH91">
        <v>310</v>
      </c>
      <c r="AI91" t="s">
        <v>131</v>
      </c>
    </row>
    <row r="92" spans="1:35" x14ac:dyDescent="0.35">
      <c r="A92" t="s">
        <v>388</v>
      </c>
      <c r="B92" t="s">
        <v>389</v>
      </c>
      <c r="C92" s="1">
        <v>45565</v>
      </c>
      <c r="D92" s="1">
        <v>45553</v>
      </c>
      <c r="F92" t="s">
        <v>37</v>
      </c>
      <c r="H92" t="s">
        <v>38</v>
      </c>
      <c r="J92" t="s">
        <v>390</v>
      </c>
      <c r="K92" t="s">
        <v>391</v>
      </c>
      <c r="L92" t="s">
        <v>392</v>
      </c>
      <c r="M92" t="s">
        <v>42</v>
      </c>
      <c r="N92" s="1">
        <v>45475</v>
      </c>
      <c r="P92" t="s">
        <v>393</v>
      </c>
      <c r="Q92" t="s">
        <v>44</v>
      </c>
      <c r="R92" t="s">
        <v>398</v>
      </c>
      <c r="S92" t="s">
        <v>399</v>
      </c>
      <c r="T92" t="s">
        <v>396</v>
      </c>
      <c r="V92" t="s">
        <v>48</v>
      </c>
      <c r="W92" t="s">
        <v>396</v>
      </c>
      <c r="X92" t="s">
        <v>49</v>
      </c>
      <c r="Y92" t="s">
        <v>49</v>
      </c>
      <c r="Z92" t="s">
        <v>83</v>
      </c>
      <c r="AA92" t="s">
        <v>99</v>
      </c>
      <c r="AB92" t="s">
        <v>52</v>
      </c>
      <c r="AC92" t="s">
        <v>67</v>
      </c>
      <c r="AD92" t="s">
        <v>54</v>
      </c>
      <c r="AE92" t="s">
        <v>55</v>
      </c>
      <c r="AF92" t="s">
        <v>397</v>
      </c>
      <c r="AG92" t="s">
        <v>57</v>
      </c>
      <c r="AH92">
        <v>310</v>
      </c>
      <c r="AI92" t="s">
        <v>131</v>
      </c>
    </row>
    <row r="93" spans="1:35" x14ac:dyDescent="0.35">
      <c r="A93" t="s">
        <v>388</v>
      </c>
      <c r="B93" t="s">
        <v>400</v>
      </c>
      <c r="C93" s="1">
        <v>45565</v>
      </c>
      <c r="D93" s="1">
        <v>45565</v>
      </c>
      <c r="F93" t="s">
        <v>37</v>
      </c>
      <c r="H93" t="s">
        <v>60</v>
      </c>
      <c r="J93" t="s">
        <v>390</v>
      </c>
      <c r="K93" t="s">
        <v>391</v>
      </c>
      <c r="L93" t="s">
        <v>392</v>
      </c>
      <c r="M93" t="s">
        <v>42</v>
      </c>
      <c r="N93" s="1">
        <v>45475</v>
      </c>
      <c r="P93" t="s">
        <v>401</v>
      </c>
      <c r="Q93" t="s">
        <v>44</v>
      </c>
      <c r="R93" t="s">
        <v>402</v>
      </c>
      <c r="S93" t="s">
        <v>403</v>
      </c>
      <c r="T93" t="s">
        <v>396</v>
      </c>
      <c r="V93" t="s">
        <v>48</v>
      </c>
      <c r="W93" t="s">
        <v>396</v>
      </c>
      <c r="X93" t="s">
        <v>49</v>
      </c>
      <c r="Y93" t="s">
        <v>49</v>
      </c>
      <c r="Z93" t="s">
        <v>64</v>
      </c>
      <c r="AA93" t="s">
        <v>65</v>
      </c>
      <c r="AB93" t="s">
        <v>66</v>
      </c>
      <c r="AC93" t="s">
        <v>67</v>
      </c>
      <c r="AD93" t="s">
        <v>54</v>
      </c>
      <c r="AE93" t="s">
        <v>55</v>
      </c>
      <c r="AF93" t="s">
        <v>397</v>
      </c>
      <c r="AG93" t="s">
        <v>57</v>
      </c>
      <c r="AH93">
        <v>310</v>
      </c>
      <c r="AI93" t="s">
        <v>131</v>
      </c>
    </row>
    <row r="94" spans="1:35" x14ac:dyDescent="0.35">
      <c r="A94" t="s">
        <v>388</v>
      </c>
      <c r="B94" t="s">
        <v>400</v>
      </c>
      <c r="C94" s="1">
        <v>45565</v>
      </c>
      <c r="D94" s="1">
        <v>45565</v>
      </c>
      <c r="F94" t="s">
        <v>37</v>
      </c>
      <c r="H94" t="s">
        <v>60</v>
      </c>
      <c r="J94" t="s">
        <v>390</v>
      </c>
      <c r="K94" t="s">
        <v>391</v>
      </c>
      <c r="L94" t="s">
        <v>392</v>
      </c>
      <c r="M94" t="s">
        <v>42</v>
      </c>
      <c r="N94" s="1">
        <v>45475</v>
      </c>
      <c r="P94" t="s">
        <v>401</v>
      </c>
      <c r="Q94" t="s">
        <v>44</v>
      </c>
      <c r="R94" t="s">
        <v>404</v>
      </c>
      <c r="S94" t="s">
        <v>405</v>
      </c>
      <c r="T94" t="s">
        <v>396</v>
      </c>
      <c r="V94" t="s">
        <v>48</v>
      </c>
      <c r="W94" t="s">
        <v>396</v>
      </c>
      <c r="X94" t="s">
        <v>49</v>
      </c>
      <c r="Y94" t="s">
        <v>49</v>
      </c>
      <c r="Z94" t="s">
        <v>64</v>
      </c>
      <c r="AA94" t="s">
        <v>65</v>
      </c>
      <c r="AB94" t="s">
        <v>66</v>
      </c>
      <c r="AC94" t="s">
        <v>67</v>
      </c>
      <c r="AD94" t="s">
        <v>54</v>
      </c>
      <c r="AE94" t="s">
        <v>55</v>
      </c>
      <c r="AF94" t="s">
        <v>397</v>
      </c>
      <c r="AG94" t="s">
        <v>57</v>
      </c>
      <c r="AH94">
        <v>310</v>
      </c>
      <c r="AI94" t="s">
        <v>131</v>
      </c>
    </row>
    <row r="95" spans="1:35" x14ac:dyDescent="0.35">
      <c r="A95" t="s">
        <v>388</v>
      </c>
      <c r="B95" t="s">
        <v>400</v>
      </c>
      <c r="C95" s="1">
        <v>45565</v>
      </c>
      <c r="D95" s="1">
        <v>45565</v>
      </c>
      <c r="F95" t="s">
        <v>37</v>
      </c>
      <c r="H95" t="s">
        <v>60</v>
      </c>
      <c r="J95" t="s">
        <v>390</v>
      </c>
      <c r="K95" t="s">
        <v>391</v>
      </c>
      <c r="L95" t="s">
        <v>392</v>
      </c>
      <c r="M95" t="s">
        <v>42</v>
      </c>
      <c r="N95" s="1">
        <v>45475</v>
      </c>
      <c r="P95" t="s">
        <v>401</v>
      </c>
      <c r="Q95" t="s">
        <v>44</v>
      </c>
      <c r="R95" t="s">
        <v>406</v>
      </c>
      <c r="S95" t="s">
        <v>407</v>
      </c>
      <c r="T95" t="s">
        <v>396</v>
      </c>
      <c r="V95" t="s">
        <v>48</v>
      </c>
      <c r="W95" t="s">
        <v>396</v>
      </c>
      <c r="X95" t="s">
        <v>49</v>
      </c>
      <c r="Y95" t="s">
        <v>49</v>
      </c>
      <c r="Z95" t="s">
        <v>64</v>
      </c>
      <c r="AA95" t="s">
        <v>65</v>
      </c>
      <c r="AB95" t="s">
        <v>66</v>
      </c>
      <c r="AC95" t="s">
        <v>67</v>
      </c>
      <c r="AD95" t="s">
        <v>54</v>
      </c>
      <c r="AE95" t="s">
        <v>55</v>
      </c>
      <c r="AF95" t="s">
        <v>397</v>
      </c>
      <c r="AG95" t="s">
        <v>57</v>
      </c>
      <c r="AH95">
        <v>310</v>
      </c>
      <c r="AI95" t="s">
        <v>131</v>
      </c>
    </row>
    <row r="96" spans="1:35" x14ac:dyDescent="0.35">
      <c r="A96" t="s">
        <v>388</v>
      </c>
      <c r="B96" t="s">
        <v>400</v>
      </c>
      <c r="C96" s="1">
        <v>45565</v>
      </c>
      <c r="D96" s="1">
        <v>45565</v>
      </c>
      <c r="F96" t="s">
        <v>37</v>
      </c>
      <c r="H96" t="s">
        <v>60</v>
      </c>
      <c r="J96" t="s">
        <v>390</v>
      </c>
      <c r="K96" t="s">
        <v>391</v>
      </c>
      <c r="L96" t="s">
        <v>392</v>
      </c>
      <c r="M96" t="s">
        <v>42</v>
      </c>
      <c r="N96" s="1">
        <v>45475</v>
      </c>
      <c r="P96" t="s">
        <v>401</v>
      </c>
      <c r="Q96" t="s">
        <v>44</v>
      </c>
      <c r="R96" t="s">
        <v>408</v>
      </c>
      <c r="S96" t="s">
        <v>409</v>
      </c>
      <c r="T96" t="s">
        <v>396</v>
      </c>
      <c r="V96" t="s">
        <v>48</v>
      </c>
      <c r="W96" t="s">
        <v>396</v>
      </c>
      <c r="X96" t="s">
        <v>49</v>
      </c>
      <c r="Y96" t="s">
        <v>49</v>
      </c>
      <c r="Z96" t="s">
        <v>64</v>
      </c>
      <c r="AA96" t="s">
        <v>65</v>
      </c>
      <c r="AB96" t="s">
        <v>66</v>
      </c>
      <c r="AC96" t="s">
        <v>67</v>
      </c>
      <c r="AD96" t="s">
        <v>54</v>
      </c>
      <c r="AE96" t="s">
        <v>55</v>
      </c>
      <c r="AF96" t="s">
        <v>397</v>
      </c>
      <c r="AG96" t="s">
        <v>57</v>
      </c>
      <c r="AH96">
        <v>310</v>
      </c>
      <c r="AI96" t="s">
        <v>131</v>
      </c>
    </row>
    <row r="97" spans="1:35" x14ac:dyDescent="0.35">
      <c r="A97" t="s">
        <v>388</v>
      </c>
      <c r="B97" t="s">
        <v>400</v>
      </c>
      <c r="C97" s="1">
        <v>45565</v>
      </c>
      <c r="D97" s="1">
        <v>45565</v>
      </c>
      <c r="F97" t="s">
        <v>37</v>
      </c>
      <c r="H97" t="s">
        <v>60</v>
      </c>
      <c r="J97" t="s">
        <v>390</v>
      </c>
      <c r="K97" t="s">
        <v>391</v>
      </c>
      <c r="L97" t="s">
        <v>392</v>
      </c>
      <c r="M97" t="s">
        <v>42</v>
      </c>
      <c r="N97" s="1">
        <v>45475</v>
      </c>
      <c r="P97" t="s">
        <v>401</v>
      </c>
      <c r="Q97" t="s">
        <v>44</v>
      </c>
      <c r="R97" t="s">
        <v>410</v>
      </c>
      <c r="S97" t="s">
        <v>411</v>
      </c>
      <c r="T97" t="s">
        <v>396</v>
      </c>
      <c r="V97" t="s">
        <v>48</v>
      </c>
      <c r="W97" t="s">
        <v>396</v>
      </c>
      <c r="X97" t="s">
        <v>49</v>
      </c>
      <c r="Y97" t="s">
        <v>49</v>
      </c>
      <c r="Z97" t="s">
        <v>64</v>
      </c>
      <c r="AA97" t="s">
        <v>65</v>
      </c>
      <c r="AB97" t="s">
        <v>66</v>
      </c>
      <c r="AC97" t="s">
        <v>67</v>
      </c>
      <c r="AD97" t="s">
        <v>54</v>
      </c>
      <c r="AE97" t="s">
        <v>55</v>
      </c>
      <c r="AF97" t="s">
        <v>397</v>
      </c>
      <c r="AG97" t="s">
        <v>57</v>
      </c>
      <c r="AH97">
        <v>310</v>
      </c>
      <c r="AI97" t="s">
        <v>131</v>
      </c>
    </row>
    <row r="98" spans="1:35" x14ac:dyDescent="0.35">
      <c r="A98" t="s">
        <v>388</v>
      </c>
      <c r="B98" t="s">
        <v>400</v>
      </c>
      <c r="C98" s="1">
        <v>45565</v>
      </c>
      <c r="D98" s="1">
        <v>45565</v>
      </c>
      <c r="F98" t="s">
        <v>37</v>
      </c>
      <c r="H98" t="s">
        <v>60</v>
      </c>
      <c r="J98" t="s">
        <v>390</v>
      </c>
      <c r="K98" t="s">
        <v>391</v>
      </c>
      <c r="L98" t="s">
        <v>392</v>
      </c>
      <c r="M98" t="s">
        <v>42</v>
      </c>
      <c r="N98" s="1">
        <v>45475</v>
      </c>
      <c r="P98" t="s">
        <v>401</v>
      </c>
      <c r="Q98" t="s">
        <v>44</v>
      </c>
      <c r="R98" t="s">
        <v>412</v>
      </c>
      <c r="S98" t="s">
        <v>413</v>
      </c>
      <c r="T98" t="s">
        <v>396</v>
      </c>
      <c r="V98" t="s">
        <v>48</v>
      </c>
      <c r="W98" t="s">
        <v>396</v>
      </c>
      <c r="X98" t="s">
        <v>49</v>
      </c>
      <c r="Y98" t="s">
        <v>49</v>
      </c>
      <c r="Z98" t="s">
        <v>64</v>
      </c>
      <c r="AA98" t="s">
        <v>65</v>
      </c>
      <c r="AB98" t="s">
        <v>66</v>
      </c>
      <c r="AC98" t="s">
        <v>67</v>
      </c>
      <c r="AD98" t="s">
        <v>54</v>
      </c>
      <c r="AE98" t="s">
        <v>55</v>
      </c>
      <c r="AF98" t="s">
        <v>397</v>
      </c>
      <c r="AG98" t="s">
        <v>57</v>
      </c>
      <c r="AH98">
        <v>310</v>
      </c>
      <c r="AI98" t="s">
        <v>131</v>
      </c>
    </row>
    <row r="99" spans="1:35" x14ac:dyDescent="0.35">
      <c r="A99" t="s">
        <v>388</v>
      </c>
      <c r="B99" t="s">
        <v>400</v>
      </c>
      <c r="C99" s="1">
        <v>45565</v>
      </c>
      <c r="D99" s="1">
        <v>45565</v>
      </c>
      <c r="F99" t="s">
        <v>37</v>
      </c>
      <c r="H99" t="s">
        <v>60</v>
      </c>
      <c r="J99" t="s">
        <v>390</v>
      </c>
      <c r="K99" t="s">
        <v>391</v>
      </c>
      <c r="L99" t="s">
        <v>392</v>
      </c>
      <c r="M99" t="s">
        <v>42</v>
      </c>
      <c r="N99" s="1">
        <v>45475</v>
      </c>
      <c r="P99" t="s">
        <v>401</v>
      </c>
      <c r="Q99" t="s">
        <v>44</v>
      </c>
      <c r="R99" t="s">
        <v>414</v>
      </c>
      <c r="S99" t="s">
        <v>415</v>
      </c>
      <c r="T99" t="s">
        <v>396</v>
      </c>
      <c r="V99" t="s">
        <v>48</v>
      </c>
      <c r="W99" t="s">
        <v>396</v>
      </c>
      <c r="X99" t="s">
        <v>49</v>
      </c>
      <c r="Y99" t="s">
        <v>49</v>
      </c>
      <c r="Z99" t="s">
        <v>64</v>
      </c>
      <c r="AA99" t="s">
        <v>65</v>
      </c>
      <c r="AB99" t="s">
        <v>66</v>
      </c>
      <c r="AC99" t="s">
        <v>67</v>
      </c>
      <c r="AD99" t="s">
        <v>54</v>
      </c>
      <c r="AE99" t="s">
        <v>55</v>
      </c>
      <c r="AF99" t="s">
        <v>397</v>
      </c>
      <c r="AG99" t="s">
        <v>57</v>
      </c>
      <c r="AH99">
        <v>310</v>
      </c>
      <c r="AI99" t="s">
        <v>131</v>
      </c>
    </row>
    <row r="100" spans="1:35" x14ac:dyDescent="0.35">
      <c r="A100" t="s">
        <v>388</v>
      </c>
      <c r="B100" t="s">
        <v>400</v>
      </c>
      <c r="C100" s="1">
        <v>45565</v>
      </c>
      <c r="D100" s="1">
        <v>45565</v>
      </c>
      <c r="F100" t="s">
        <v>37</v>
      </c>
      <c r="H100" t="s">
        <v>60</v>
      </c>
      <c r="J100" t="s">
        <v>390</v>
      </c>
      <c r="K100" t="s">
        <v>391</v>
      </c>
      <c r="L100" t="s">
        <v>392</v>
      </c>
      <c r="M100" t="s">
        <v>42</v>
      </c>
      <c r="N100" s="1">
        <v>45475</v>
      </c>
      <c r="P100" t="s">
        <v>401</v>
      </c>
      <c r="Q100" t="s">
        <v>44</v>
      </c>
      <c r="R100" t="s">
        <v>416</v>
      </c>
      <c r="S100" t="s">
        <v>417</v>
      </c>
      <c r="T100" t="s">
        <v>396</v>
      </c>
      <c r="V100" t="s">
        <v>48</v>
      </c>
      <c r="W100" t="s">
        <v>396</v>
      </c>
      <c r="X100" t="s">
        <v>49</v>
      </c>
      <c r="Y100" t="s">
        <v>49</v>
      </c>
      <c r="Z100" t="s">
        <v>64</v>
      </c>
      <c r="AA100" t="s">
        <v>65</v>
      </c>
      <c r="AB100" t="s">
        <v>66</v>
      </c>
      <c r="AC100" t="s">
        <v>67</v>
      </c>
      <c r="AD100" t="s">
        <v>54</v>
      </c>
      <c r="AE100" t="s">
        <v>55</v>
      </c>
      <c r="AF100" t="s">
        <v>397</v>
      </c>
      <c r="AG100" t="s">
        <v>57</v>
      </c>
      <c r="AH100">
        <v>310</v>
      </c>
      <c r="AI100" t="s">
        <v>131</v>
      </c>
    </row>
    <row r="101" spans="1:35" x14ac:dyDescent="0.35">
      <c r="A101" t="s">
        <v>388</v>
      </c>
      <c r="B101" t="s">
        <v>400</v>
      </c>
      <c r="C101" s="1">
        <v>45565</v>
      </c>
      <c r="D101" s="1">
        <v>45565</v>
      </c>
      <c r="F101" t="s">
        <v>37</v>
      </c>
      <c r="H101" t="s">
        <v>60</v>
      </c>
      <c r="J101" t="s">
        <v>390</v>
      </c>
      <c r="K101" t="s">
        <v>391</v>
      </c>
      <c r="L101" t="s">
        <v>392</v>
      </c>
      <c r="M101" t="s">
        <v>42</v>
      </c>
      <c r="N101" s="1">
        <v>45475</v>
      </c>
      <c r="P101" t="s">
        <v>401</v>
      </c>
      <c r="Q101" t="s">
        <v>44</v>
      </c>
      <c r="R101" t="s">
        <v>418</v>
      </c>
      <c r="S101" t="s">
        <v>419</v>
      </c>
      <c r="T101" t="s">
        <v>396</v>
      </c>
      <c r="V101" t="s">
        <v>48</v>
      </c>
      <c r="W101" t="s">
        <v>396</v>
      </c>
      <c r="X101" t="s">
        <v>49</v>
      </c>
      <c r="Y101" t="s">
        <v>49</v>
      </c>
      <c r="Z101" t="s">
        <v>64</v>
      </c>
      <c r="AA101" t="s">
        <v>65</v>
      </c>
      <c r="AB101" t="s">
        <v>66</v>
      </c>
      <c r="AC101" t="s">
        <v>67</v>
      </c>
      <c r="AD101" t="s">
        <v>54</v>
      </c>
      <c r="AE101" t="s">
        <v>55</v>
      </c>
      <c r="AF101" t="s">
        <v>397</v>
      </c>
      <c r="AG101" t="s">
        <v>57</v>
      </c>
      <c r="AH101">
        <v>310</v>
      </c>
      <c r="AI101" t="s">
        <v>131</v>
      </c>
    </row>
    <row r="102" spans="1:35" x14ac:dyDescent="0.35">
      <c r="A102" t="s">
        <v>388</v>
      </c>
      <c r="B102" t="s">
        <v>400</v>
      </c>
      <c r="C102" s="1">
        <v>45565</v>
      </c>
      <c r="D102" s="1">
        <v>45565</v>
      </c>
      <c r="F102" t="s">
        <v>37</v>
      </c>
      <c r="H102" t="s">
        <v>60</v>
      </c>
      <c r="J102" t="s">
        <v>390</v>
      </c>
      <c r="K102" t="s">
        <v>391</v>
      </c>
      <c r="L102" t="s">
        <v>392</v>
      </c>
      <c r="M102" t="s">
        <v>42</v>
      </c>
      <c r="N102" s="1">
        <v>45475</v>
      </c>
      <c r="P102" t="s">
        <v>401</v>
      </c>
      <c r="Q102" t="s">
        <v>44</v>
      </c>
      <c r="R102" t="s">
        <v>420</v>
      </c>
      <c r="S102" t="s">
        <v>421</v>
      </c>
      <c r="T102" t="s">
        <v>396</v>
      </c>
      <c r="V102" t="s">
        <v>48</v>
      </c>
      <c r="W102" t="s">
        <v>396</v>
      </c>
      <c r="X102" t="s">
        <v>49</v>
      </c>
      <c r="Y102" t="s">
        <v>49</v>
      </c>
      <c r="Z102" t="s">
        <v>64</v>
      </c>
      <c r="AA102" t="s">
        <v>65</v>
      </c>
      <c r="AB102" t="s">
        <v>66</v>
      </c>
      <c r="AC102" t="s">
        <v>67</v>
      </c>
      <c r="AD102" t="s">
        <v>54</v>
      </c>
      <c r="AE102" t="s">
        <v>55</v>
      </c>
      <c r="AF102" t="s">
        <v>397</v>
      </c>
      <c r="AG102" t="s">
        <v>57</v>
      </c>
      <c r="AH102">
        <v>310</v>
      </c>
      <c r="AI102" t="s">
        <v>131</v>
      </c>
    </row>
    <row r="103" spans="1:35" x14ac:dyDescent="0.35">
      <c r="A103" t="s">
        <v>388</v>
      </c>
      <c r="B103" t="s">
        <v>400</v>
      </c>
      <c r="C103" s="1">
        <v>45565</v>
      </c>
      <c r="D103" s="1">
        <v>45565</v>
      </c>
      <c r="F103" t="s">
        <v>37</v>
      </c>
      <c r="H103" t="s">
        <v>60</v>
      </c>
      <c r="J103" t="s">
        <v>390</v>
      </c>
      <c r="K103" t="s">
        <v>391</v>
      </c>
      <c r="L103" t="s">
        <v>392</v>
      </c>
      <c r="M103" t="s">
        <v>42</v>
      </c>
      <c r="N103" s="1">
        <v>45475</v>
      </c>
      <c r="P103" t="s">
        <v>401</v>
      </c>
      <c r="Q103" t="s">
        <v>44</v>
      </c>
      <c r="R103" t="s">
        <v>422</v>
      </c>
      <c r="S103" t="s">
        <v>423</v>
      </c>
      <c r="T103" t="s">
        <v>396</v>
      </c>
      <c r="V103" t="s">
        <v>48</v>
      </c>
      <c r="W103" t="s">
        <v>396</v>
      </c>
      <c r="X103" t="s">
        <v>49</v>
      </c>
      <c r="Y103" t="s">
        <v>49</v>
      </c>
      <c r="Z103" t="s">
        <v>64</v>
      </c>
      <c r="AA103" t="s">
        <v>65</v>
      </c>
      <c r="AB103" t="s">
        <v>66</v>
      </c>
      <c r="AC103" t="s">
        <v>67</v>
      </c>
      <c r="AD103" t="s">
        <v>54</v>
      </c>
      <c r="AE103" t="s">
        <v>55</v>
      </c>
      <c r="AF103" t="s">
        <v>397</v>
      </c>
      <c r="AG103" t="s">
        <v>57</v>
      </c>
      <c r="AH103">
        <v>310</v>
      </c>
      <c r="AI103" t="s">
        <v>131</v>
      </c>
    </row>
    <row r="104" spans="1:35" x14ac:dyDescent="0.35">
      <c r="A104" t="s">
        <v>388</v>
      </c>
      <c r="B104" t="s">
        <v>424</v>
      </c>
      <c r="C104" s="1">
        <v>45565</v>
      </c>
      <c r="D104" s="1">
        <v>45525</v>
      </c>
      <c r="F104" t="s">
        <v>37</v>
      </c>
      <c r="H104" t="s">
        <v>38</v>
      </c>
      <c r="J104" t="s">
        <v>390</v>
      </c>
      <c r="K104" t="s">
        <v>391</v>
      </c>
      <c r="L104" t="s">
        <v>392</v>
      </c>
      <c r="M104" t="s">
        <v>42</v>
      </c>
      <c r="N104" s="1">
        <v>45475</v>
      </c>
      <c r="P104" t="s">
        <v>425</v>
      </c>
      <c r="Q104" t="s">
        <v>44</v>
      </c>
      <c r="R104" t="s">
        <v>426</v>
      </c>
      <c r="S104" t="s">
        <v>427</v>
      </c>
      <c r="T104" t="s">
        <v>396</v>
      </c>
      <c r="V104" t="s">
        <v>48</v>
      </c>
      <c r="W104" t="s">
        <v>396</v>
      </c>
      <c r="X104" t="s">
        <v>49</v>
      </c>
      <c r="Y104" t="s">
        <v>49</v>
      </c>
      <c r="Z104" t="s">
        <v>184</v>
      </c>
      <c r="AA104" t="s">
        <v>185</v>
      </c>
      <c r="AB104" t="s">
        <v>186</v>
      </c>
      <c r="AC104" t="s">
        <v>67</v>
      </c>
      <c r="AD104" t="s">
        <v>54</v>
      </c>
      <c r="AE104" t="s">
        <v>55</v>
      </c>
      <c r="AF104" t="s">
        <v>397</v>
      </c>
      <c r="AG104" t="s">
        <v>57</v>
      </c>
      <c r="AH104">
        <v>310</v>
      </c>
      <c r="AI104" t="s">
        <v>131</v>
      </c>
    </row>
    <row r="105" spans="1:35" x14ac:dyDescent="0.35">
      <c r="A105" t="s">
        <v>388</v>
      </c>
      <c r="B105" t="s">
        <v>424</v>
      </c>
      <c r="C105" s="1">
        <v>45565</v>
      </c>
      <c r="D105" s="1">
        <v>45525</v>
      </c>
      <c r="F105" t="s">
        <v>37</v>
      </c>
      <c r="H105" t="s">
        <v>38</v>
      </c>
      <c r="J105" t="s">
        <v>390</v>
      </c>
      <c r="K105" t="s">
        <v>391</v>
      </c>
      <c r="L105" t="s">
        <v>392</v>
      </c>
      <c r="M105" t="s">
        <v>42</v>
      </c>
      <c r="N105" s="1">
        <v>45475</v>
      </c>
      <c r="P105" t="s">
        <v>425</v>
      </c>
      <c r="Q105" t="s">
        <v>44</v>
      </c>
      <c r="R105" t="s">
        <v>428</v>
      </c>
      <c r="S105" t="s">
        <v>429</v>
      </c>
      <c r="T105" t="s">
        <v>396</v>
      </c>
      <c r="V105" t="s">
        <v>48</v>
      </c>
      <c r="W105" t="s">
        <v>396</v>
      </c>
      <c r="X105" t="s">
        <v>49</v>
      </c>
      <c r="Y105" t="s">
        <v>49</v>
      </c>
      <c r="Z105" t="s">
        <v>184</v>
      </c>
      <c r="AA105" t="s">
        <v>185</v>
      </c>
      <c r="AB105" t="s">
        <v>186</v>
      </c>
      <c r="AC105" t="s">
        <v>67</v>
      </c>
      <c r="AD105" t="s">
        <v>54</v>
      </c>
      <c r="AE105" t="s">
        <v>55</v>
      </c>
      <c r="AF105" t="s">
        <v>397</v>
      </c>
      <c r="AG105" t="s">
        <v>57</v>
      </c>
      <c r="AH105">
        <v>310</v>
      </c>
      <c r="AI105" t="s">
        <v>131</v>
      </c>
    </row>
    <row r="106" spans="1:35" x14ac:dyDescent="0.35">
      <c r="A106" t="s">
        <v>388</v>
      </c>
      <c r="B106" t="s">
        <v>430</v>
      </c>
      <c r="C106" s="1">
        <v>45565</v>
      </c>
      <c r="D106" s="1">
        <v>45565</v>
      </c>
      <c r="F106" t="s">
        <v>37</v>
      </c>
      <c r="H106" t="s">
        <v>60</v>
      </c>
      <c r="J106" t="s">
        <v>390</v>
      </c>
      <c r="K106" t="s">
        <v>391</v>
      </c>
      <c r="L106" t="s">
        <v>392</v>
      </c>
      <c r="M106" t="s">
        <v>42</v>
      </c>
      <c r="N106" s="1">
        <v>45475</v>
      </c>
      <c r="P106" t="s">
        <v>431</v>
      </c>
      <c r="Q106" t="s">
        <v>44</v>
      </c>
      <c r="R106" t="s">
        <v>432</v>
      </c>
      <c r="S106" t="s">
        <v>433</v>
      </c>
      <c r="T106" t="s">
        <v>396</v>
      </c>
      <c r="V106" t="s">
        <v>48</v>
      </c>
      <c r="W106" t="s">
        <v>396</v>
      </c>
      <c r="X106" t="s">
        <v>49</v>
      </c>
      <c r="Y106" t="s">
        <v>49</v>
      </c>
      <c r="Z106" t="s">
        <v>110</v>
      </c>
      <c r="AA106" t="s">
        <v>111</v>
      </c>
      <c r="AB106" t="s">
        <v>112</v>
      </c>
      <c r="AC106" t="s">
        <v>67</v>
      </c>
      <c r="AD106" t="s">
        <v>54</v>
      </c>
      <c r="AE106" t="s">
        <v>55</v>
      </c>
      <c r="AF106" t="s">
        <v>397</v>
      </c>
      <c r="AG106" t="s">
        <v>57</v>
      </c>
      <c r="AH106">
        <v>310</v>
      </c>
      <c r="AI106" t="s">
        <v>131</v>
      </c>
    </row>
    <row r="107" spans="1:35" x14ac:dyDescent="0.35">
      <c r="A107" t="s">
        <v>388</v>
      </c>
      <c r="B107" t="s">
        <v>430</v>
      </c>
      <c r="C107" s="1">
        <v>45565</v>
      </c>
      <c r="D107" s="1">
        <v>45565</v>
      </c>
      <c r="F107" t="s">
        <v>37</v>
      </c>
      <c r="H107" t="s">
        <v>60</v>
      </c>
      <c r="J107" t="s">
        <v>390</v>
      </c>
      <c r="K107" t="s">
        <v>391</v>
      </c>
      <c r="L107" t="s">
        <v>392</v>
      </c>
      <c r="M107" t="s">
        <v>42</v>
      </c>
      <c r="N107" s="1">
        <v>45475</v>
      </c>
      <c r="P107" t="s">
        <v>431</v>
      </c>
      <c r="Q107" t="s">
        <v>44</v>
      </c>
      <c r="R107" t="s">
        <v>434</v>
      </c>
      <c r="S107" t="s">
        <v>435</v>
      </c>
      <c r="T107" t="s">
        <v>396</v>
      </c>
      <c r="V107" t="s">
        <v>48</v>
      </c>
      <c r="W107" t="s">
        <v>396</v>
      </c>
      <c r="X107" t="s">
        <v>49</v>
      </c>
      <c r="Y107" t="s">
        <v>49</v>
      </c>
      <c r="Z107" t="s">
        <v>110</v>
      </c>
      <c r="AA107" t="s">
        <v>111</v>
      </c>
      <c r="AB107" t="s">
        <v>112</v>
      </c>
      <c r="AC107" t="s">
        <v>67</v>
      </c>
      <c r="AD107" t="s">
        <v>54</v>
      </c>
      <c r="AE107" t="s">
        <v>55</v>
      </c>
      <c r="AF107" t="s">
        <v>397</v>
      </c>
      <c r="AG107" t="s">
        <v>57</v>
      </c>
      <c r="AH107">
        <v>310</v>
      </c>
      <c r="AI107" t="s">
        <v>131</v>
      </c>
    </row>
    <row r="108" spans="1:35" x14ac:dyDescent="0.35">
      <c r="A108" t="s">
        <v>388</v>
      </c>
      <c r="B108" t="s">
        <v>430</v>
      </c>
      <c r="C108" s="1">
        <v>45565</v>
      </c>
      <c r="D108" s="1">
        <v>45565</v>
      </c>
      <c r="F108" t="s">
        <v>37</v>
      </c>
      <c r="H108" t="s">
        <v>60</v>
      </c>
      <c r="J108" t="s">
        <v>390</v>
      </c>
      <c r="K108" t="s">
        <v>391</v>
      </c>
      <c r="L108" t="s">
        <v>392</v>
      </c>
      <c r="M108" t="s">
        <v>42</v>
      </c>
      <c r="N108" s="1">
        <v>45475</v>
      </c>
      <c r="P108" t="s">
        <v>431</v>
      </c>
      <c r="Q108" t="s">
        <v>44</v>
      </c>
      <c r="R108" t="s">
        <v>436</v>
      </c>
      <c r="S108" t="s">
        <v>437</v>
      </c>
      <c r="T108" t="s">
        <v>396</v>
      </c>
      <c r="V108" t="s">
        <v>48</v>
      </c>
      <c r="W108" t="s">
        <v>396</v>
      </c>
      <c r="X108" t="s">
        <v>49</v>
      </c>
      <c r="Y108" t="s">
        <v>49</v>
      </c>
      <c r="Z108" t="s">
        <v>110</v>
      </c>
      <c r="AA108" t="s">
        <v>111</v>
      </c>
      <c r="AB108" t="s">
        <v>112</v>
      </c>
      <c r="AC108" t="s">
        <v>67</v>
      </c>
      <c r="AD108" t="s">
        <v>54</v>
      </c>
      <c r="AE108" t="s">
        <v>55</v>
      </c>
      <c r="AF108" t="s">
        <v>397</v>
      </c>
      <c r="AG108" t="s">
        <v>57</v>
      </c>
      <c r="AH108">
        <v>310</v>
      </c>
      <c r="AI108" t="s">
        <v>131</v>
      </c>
    </row>
    <row r="109" spans="1:35" x14ac:dyDescent="0.35">
      <c r="A109" t="s">
        <v>388</v>
      </c>
      <c r="B109" t="s">
        <v>430</v>
      </c>
      <c r="C109" s="1">
        <v>45565</v>
      </c>
      <c r="D109" s="1">
        <v>45565</v>
      </c>
      <c r="F109" t="s">
        <v>37</v>
      </c>
      <c r="H109" t="s">
        <v>60</v>
      </c>
      <c r="J109" t="s">
        <v>390</v>
      </c>
      <c r="K109" t="s">
        <v>391</v>
      </c>
      <c r="L109" t="s">
        <v>392</v>
      </c>
      <c r="M109" t="s">
        <v>42</v>
      </c>
      <c r="N109" s="1">
        <v>45475</v>
      </c>
      <c r="P109" t="s">
        <v>431</v>
      </c>
      <c r="Q109" t="s">
        <v>44</v>
      </c>
      <c r="R109" t="s">
        <v>438</v>
      </c>
      <c r="S109" t="s">
        <v>439</v>
      </c>
      <c r="T109" t="s">
        <v>396</v>
      </c>
      <c r="V109" t="s">
        <v>48</v>
      </c>
      <c r="W109" t="s">
        <v>396</v>
      </c>
      <c r="X109" t="s">
        <v>49</v>
      </c>
      <c r="Y109" t="s">
        <v>49</v>
      </c>
      <c r="Z109" t="s">
        <v>110</v>
      </c>
      <c r="AA109" t="s">
        <v>111</v>
      </c>
      <c r="AB109" t="s">
        <v>112</v>
      </c>
      <c r="AC109" t="s">
        <v>67</v>
      </c>
      <c r="AD109" t="s">
        <v>54</v>
      </c>
      <c r="AE109" t="s">
        <v>55</v>
      </c>
      <c r="AF109" t="s">
        <v>397</v>
      </c>
      <c r="AG109" t="s">
        <v>57</v>
      </c>
      <c r="AH109">
        <v>310</v>
      </c>
      <c r="AI109" t="s">
        <v>131</v>
      </c>
    </row>
    <row r="110" spans="1:35" x14ac:dyDescent="0.35">
      <c r="A110" t="s">
        <v>388</v>
      </c>
      <c r="B110" t="s">
        <v>430</v>
      </c>
      <c r="C110" s="1">
        <v>45565</v>
      </c>
      <c r="D110" s="1">
        <v>45565</v>
      </c>
      <c r="F110" t="s">
        <v>37</v>
      </c>
      <c r="H110" t="s">
        <v>60</v>
      </c>
      <c r="J110" t="s">
        <v>390</v>
      </c>
      <c r="K110" t="s">
        <v>391</v>
      </c>
      <c r="L110" t="s">
        <v>392</v>
      </c>
      <c r="M110" t="s">
        <v>42</v>
      </c>
      <c r="N110" s="1">
        <v>45475</v>
      </c>
      <c r="P110" t="s">
        <v>431</v>
      </c>
      <c r="Q110" t="s">
        <v>44</v>
      </c>
      <c r="R110" t="s">
        <v>440</v>
      </c>
      <c r="S110" t="s">
        <v>441</v>
      </c>
      <c r="T110" t="s">
        <v>396</v>
      </c>
      <c r="V110" t="s">
        <v>48</v>
      </c>
      <c r="W110" t="s">
        <v>396</v>
      </c>
      <c r="X110" t="s">
        <v>49</v>
      </c>
      <c r="Y110" t="s">
        <v>49</v>
      </c>
      <c r="Z110" t="s">
        <v>110</v>
      </c>
      <c r="AA110" t="s">
        <v>111</v>
      </c>
      <c r="AB110" t="s">
        <v>112</v>
      </c>
      <c r="AC110" t="s">
        <v>67</v>
      </c>
      <c r="AD110" t="s">
        <v>54</v>
      </c>
      <c r="AE110" t="s">
        <v>55</v>
      </c>
      <c r="AF110" t="s">
        <v>397</v>
      </c>
      <c r="AG110" t="s">
        <v>57</v>
      </c>
      <c r="AH110">
        <v>310</v>
      </c>
      <c r="AI110" t="s">
        <v>131</v>
      </c>
    </row>
    <row r="111" spans="1:35" x14ac:dyDescent="0.35">
      <c r="A111" t="s">
        <v>388</v>
      </c>
      <c r="B111" t="s">
        <v>430</v>
      </c>
      <c r="C111" s="1">
        <v>45565</v>
      </c>
      <c r="D111" s="1">
        <v>45565</v>
      </c>
      <c r="F111" t="s">
        <v>37</v>
      </c>
      <c r="H111" t="s">
        <v>60</v>
      </c>
      <c r="J111" t="s">
        <v>390</v>
      </c>
      <c r="K111" t="s">
        <v>391</v>
      </c>
      <c r="L111" t="s">
        <v>392</v>
      </c>
      <c r="M111" t="s">
        <v>42</v>
      </c>
      <c r="N111" s="1">
        <v>45475</v>
      </c>
      <c r="P111" t="s">
        <v>431</v>
      </c>
      <c r="Q111" t="s">
        <v>44</v>
      </c>
      <c r="R111" t="s">
        <v>442</v>
      </c>
      <c r="S111" t="s">
        <v>443</v>
      </c>
      <c r="T111" t="s">
        <v>396</v>
      </c>
      <c r="V111" t="s">
        <v>48</v>
      </c>
      <c r="W111" t="s">
        <v>396</v>
      </c>
      <c r="X111" t="s">
        <v>49</v>
      </c>
      <c r="Y111" t="s">
        <v>49</v>
      </c>
      <c r="Z111" t="s">
        <v>110</v>
      </c>
      <c r="AA111" t="s">
        <v>111</v>
      </c>
      <c r="AB111" t="s">
        <v>112</v>
      </c>
      <c r="AC111" t="s">
        <v>67</v>
      </c>
      <c r="AD111" t="s">
        <v>54</v>
      </c>
      <c r="AE111" t="s">
        <v>55</v>
      </c>
      <c r="AF111" t="s">
        <v>397</v>
      </c>
      <c r="AG111" t="s">
        <v>57</v>
      </c>
      <c r="AH111">
        <v>310</v>
      </c>
      <c r="AI111" t="s">
        <v>131</v>
      </c>
    </row>
    <row r="112" spans="1:35" x14ac:dyDescent="0.35">
      <c r="A112" t="s">
        <v>388</v>
      </c>
      <c r="B112" t="s">
        <v>444</v>
      </c>
      <c r="C112" s="1">
        <v>45565</v>
      </c>
      <c r="D112" s="1">
        <v>45525</v>
      </c>
      <c r="F112" t="s">
        <v>37</v>
      </c>
      <c r="H112" t="s">
        <v>38</v>
      </c>
      <c r="J112" t="s">
        <v>390</v>
      </c>
      <c r="K112" t="s">
        <v>391</v>
      </c>
      <c r="L112" t="s">
        <v>392</v>
      </c>
      <c r="M112" t="s">
        <v>42</v>
      </c>
      <c r="N112" s="1">
        <v>45475</v>
      </c>
      <c r="P112" t="s">
        <v>445</v>
      </c>
      <c r="Q112" t="s">
        <v>44</v>
      </c>
      <c r="R112" t="s">
        <v>446</v>
      </c>
      <c r="S112" t="s">
        <v>447</v>
      </c>
      <c r="T112" t="s">
        <v>396</v>
      </c>
      <c r="V112" t="s">
        <v>48</v>
      </c>
      <c r="W112" t="s">
        <v>396</v>
      </c>
      <c r="X112" t="s">
        <v>49</v>
      </c>
      <c r="Y112" t="s">
        <v>49</v>
      </c>
      <c r="Z112" t="s">
        <v>104</v>
      </c>
      <c r="AA112" t="s">
        <v>105</v>
      </c>
      <c r="AB112" t="s">
        <v>137</v>
      </c>
      <c r="AC112" t="s">
        <v>67</v>
      </c>
      <c r="AD112" t="s">
        <v>54</v>
      </c>
      <c r="AE112" t="s">
        <v>55</v>
      </c>
      <c r="AF112" t="s">
        <v>397</v>
      </c>
      <c r="AG112" t="s">
        <v>57</v>
      </c>
      <c r="AH112">
        <v>310</v>
      </c>
      <c r="AI112" t="s">
        <v>131</v>
      </c>
    </row>
    <row r="113" spans="1:35" x14ac:dyDescent="0.35">
      <c r="A113" t="s">
        <v>388</v>
      </c>
      <c r="B113" t="s">
        <v>444</v>
      </c>
      <c r="C113" s="1">
        <v>45565</v>
      </c>
      <c r="D113" s="1">
        <v>45525</v>
      </c>
      <c r="F113" t="s">
        <v>37</v>
      </c>
      <c r="H113" t="s">
        <v>38</v>
      </c>
      <c r="J113" t="s">
        <v>390</v>
      </c>
      <c r="K113" t="s">
        <v>391</v>
      </c>
      <c r="L113" t="s">
        <v>392</v>
      </c>
      <c r="M113" t="s">
        <v>42</v>
      </c>
      <c r="N113" s="1">
        <v>45475</v>
      </c>
      <c r="P113" t="s">
        <v>445</v>
      </c>
      <c r="Q113" t="s">
        <v>44</v>
      </c>
      <c r="R113" t="s">
        <v>448</v>
      </c>
      <c r="S113" t="s">
        <v>449</v>
      </c>
      <c r="T113" t="s">
        <v>396</v>
      </c>
      <c r="V113" t="s">
        <v>48</v>
      </c>
      <c r="W113" t="s">
        <v>396</v>
      </c>
      <c r="X113" t="s">
        <v>49</v>
      </c>
      <c r="Y113" t="s">
        <v>49</v>
      </c>
      <c r="Z113" t="s">
        <v>104</v>
      </c>
      <c r="AA113" t="s">
        <v>105</v>
      </c>
      <c r="AB113" t="s">
        <v>137</v>
      </c>
      <c r="AC113" t="s">
        <v>67</v>
      </c>
      <c r="AD113" t="s">
        <v>54</v>
      </c>
      <c r="AE113" t="s">
        <v>55</v>
      </c>
      <c r="AF113" t="s">
        <v>397</v>
      </c>
      <c r="AG113" t="s">
        <v>57</v>
      </c>
      <c r="AH113">
        <v>310</v>
      </c>
      <c r="AI113" t="s">
        <v>131</v>
      </c>
    </row>
    <row r="114" spans="1:35" x14ac:dyDescent="0.35">
      <c r="A114" t="s">
        <v>388</v>
      </c>
      <c r="B114" t="s">
        <v>450</v>
      </c>
      <c r="C114" s="1">
        <v>45565</v>
      </c>
      <c r="D114" s="1">
        <v>45525</v>
      </c>
      <c r="F114" t="s">
        <v>37</v>
      </c>
      <c r="H114" t="s">
        <v>38</v>
      </c>
      <c r="J114" t="s">
        <v>390</v>
      </c>
      <c r="K114" t="s">
        <v>391</v>
      </c>
      <c r="L114" t="s">
        <v>392</v>
      </c>
      <c r="M114" t="s">
        <v>42</v>
      </c>
      <c r="N114" s="1">
        <v>45475</v>
      </c>
      <c r="P114" t="s">
        <v>451</v>
      </c>
      <c r="Q114" t="s">
        <v>44</v>
      </c>
      <c r="R114" t="s">
        <v>452</v>
      </c>
      <c r="S114" t="s">
        <v>453</v>
      </c>
      <c r="T114" t="s">
        <v>396</v>
      </c>
      <c r="V114" t="s">
        <v>48</v>
      </c>
      <c r="W114" t="s">
        <v>396</v>
      </c>
      <c r="X114" t="s">
        <v>49</v>
      </c>
      <c r="Y114" t="s">
        <v>49</v>
      </c>
      <c r="Z114" t="s">
        <v>76</v>
      </c>
      <c r="AA114" t="s">
        <v>77</v>
      </c>
      <c r="AB114" t="s">
        <v>179</v>
      </c>
      <c r="AC114" t="s">
        <v>67</v>
      </c>
      <c r="AD114" t="s">
        <v>54</v>
      </c>
      <c r="AE114" t="s">
        <v>55</v>
      </c>
      <c r="AF114" t="s">
        <v>397</v>
      </c>
      <c r="AG114" t="s">
        <v>57</v>
      </c>
      <c r="AH114">
        <v>310</v>
      </c>
      <c r="AI114" t="s">
        <v>131</v>
      </c>
    </row>
    <row r="115" spans="1:35" x14ac:dyDescent="0.35">
      <c r="A115" t="s">
        <v>388</v>
      </c>
      <c r="B115" t="s">
        <v>450</v>
      </c>
      <c r="C115" s="1">
        <v>45565</v>
      </c>
      <c r="D115" s="1">
        <v>45525</v>
      </c>
      <c r="F115" t="s">
        <v>37</v>
      </c>
      <c r="H115" t="s">
        <v>38</v>
      </c>
      <c r="J115" t="s">
        <v>390</v>
      </c>
      <c r="K115" t="s">
        <v>391</v>
      </c>
      <c r="L115" t="s">
        <v>392</v>
      </c>
      <c r="M115" t="s">
        <v>42</v>
      </c>
      <c r="N115" s="1">
        <v>45475</v>
      </c>
      <c r="P115" t="s">
        <v>451</v>
      </c>
      <c r="Q115" t="s">
        <v>44</v>
      </c>
      <c r="R115" t="s">
        <v>454</v>
      </c>
      <c r="S115" t="s">
        <v>455</v>
      </c>
      <c r="T115" t="s">
        <v>396</v>
      </c>
      <c r="V115" t="s">
        <v>48</v>
      </c>
      <c r="W115" t="s">
        <v>396</v>
      </c>
      <c r="X115" t="s">
        <v>49</v>
      </c>
      <c r="Y115" t="s">
        <v>49</v>
      </c>
      <c r="Z115" t="s">
        <v>76</v>
      </c>
      <c r="AA115" t="s">
        <v>77</v>
      </c>
      <c r="AB115" t="s">
        <v>179</v>
      </c>
      <c r="AC115" t="s">
        <v>67</v>
      </c>
      <c r="AD115" t="s">
        <v>54</v>
      </c>
      <c r="AE115" t="s">
        <v>55</v>
      </c>
      <c r="AF115" t="s">
        <v>397</v>
      </c>
      <c r="AG115" t="s">
        <v>57</v>
      </c>
      <c r="AH115">
        <v>310</v>
      </c>
      <c r="AI115" t="s">
        <v>131</v>
      </c>
    </row>
    <row r="116" spans="1:35" x14ac:dyDescent="0.35">
      <c r="A116" t="s">
        <v>388</v>
      </c>
      <c r="B116" t="s">
        <v>456</v>
      </c>
      <c r="C116" s="1">
        <v>45565</v>
      </c>
      <c r="D116" s="1">
        <v>45553</v>
      </c>
      <c r="F116" t="s">
        <v>37</v>
      </c>
      <c r="H116" t="s">
        <v>38</v>
      </c>
      <c r="J116" t="s">
        <v>390</v>
      </c>
      <c r="K116" t="s">
        <v>391</v>
      </c>
      <c r="L116" t="s">
        <v>392</v>
      </c>
      <c r="M116" t="s">
        <v>42</v>
      </c>
      <c r="N116" s="1">
        <v>45475</v>
      </c>
      <c r="P116" t="s">
        <v>457</v>
      </c>
      <c r="Q116" t="s">
        <v>44</v>
      </c>
      <c r="R116" t="s">
        <v>458</v>
      </c>
      <c r="S116" t="s">
        <v>459</v>
      </c>
      <c r="T116" t="s">
        <v>396</v>
      </c>
      <c r="V116" t="s">
        <v>48</v>
      </c>
      <c r="W116" t="s">
        <v>396</v>
      </c>
      <c r="X116" t="s">
        <v>49</v>
      </c>
      <c r="Y116" t="s">
        <v>49</v>
      </c>
      <c r="Z116" t="s">
        <v>83</v>
      </c>
      <c r="AA116" t="s">
        <v>99</v>
      </c>
      <c r="AB116" t="s">
        <v>166</v>
      </c>
      <c r="AC116" t="s">
        <v>67</v>
      </c>
      <c r="AD116" t="s">
        <v>54</v>
      </c>
      <c r="AE116" t="s">
        <v>55</v>
      </c>
      <c r="AF116" t="s">
        <v>397</v>
      </c>
      <c r="AG116" t="s">
        <v>57</v>
      </c>
      <c r="AH116">
        <v>310</v>
      </c>
      <c r="AI116" t="s">
        <v>131</v>
      </c>
    </row>
    <row r="117" spans="1:35" x14ac:dyDescent="0.35">
      <c r="A117" t="s">
        <v>388</v>
      </c>
      <c r="B117" t="s">
        <v>456</v>
      </c>
      <c r="C117" s="1">
        <v>45565</v>
      </c>
      <c r="D117" s="1">
        <v>45553</v>
      </c>
      <c r="F117" t="s">
        <v>37</v>
      </c>
      <c r="H117" t="s">
        <v>38</v>
      </c>
      <c r="J117" t="s">
        <v>390</v>
      </c>
      <c r="K117" t="s">
        <v>391</v>
      </c>
      <c r="L117" t="s">
        <v>392</v>
      </c>
      <c r="M117" t="s">
        <v>42</v>
      </c>
      <c r="N117" s="1">
        <v>45475</v>
      </c>
      <c r="P117" t="s">
        <v>457</v>
      </c>
      <c r="Q117" t="s">
        <v>44</v>
      </c>
      <c r="R117" t="s">
        <v>460</v>
      </c>
      <c r="S117" t="s">
        <v>461</v>
      </c>
      <c r="T117" t="s">
        <v>396</v>
      </c>
      <c r="V117" t="s">
        <v>48</v>
      </c>
      <c r="W117" t="s">
        <v>396</v>
      </c>
      <c r="X117" t="s">
        <v>49</v>
      </c>
      <c r="Y117" t="s">
        <v>49</v>
      </c>
      <c r="Z117" t="s">
        <v>83</v>
      </c>
      <c r="AA117" t="s">
        <v>99</v>
      </c>
      <c r="AB117" t="s">
        <v>166</v>
      </c>
      <c r="AC117" t="s">
        <v>67</v>
      </c>
      <c r="AD117" t="s">
        <v>54</v>
      </c>
      <c r="AE117" t="s">
        <v>55</v>
      </c>
      <c r="AF117" t="s">
        <v>397</v>
      </c>
      <c r="AG117" t="s">
        <v>57</v>
      </c>
      <c r="AH117">
        <v>310</v>
      </c>
      <c r="AI117" t="s">
        <v>131</v>
      </c>
    </row>
    <row r="118" spans="1:35" x14ac:dyDescent="0.35">
      <c r="A118" t="s">
        <v>388</v>
      </c>
      <c r="B118" t="s">
        <v>456</v>
      </c>
      <c r="C118" s="1">
        <v>45565</v>
      </c>
      <c r="D118" s="1">
        <v>45553</v>
      </c>
      <c r="F118" t="s">
        <v>37</v>
      </c>
      <c r="H118" t="s">
        <v>38</v>
      </c>
      <c r="J118" t="s">
        <v>390</v>
      </c>
      <c r="K118" t="s">
        <v>391</v>
      </c>
      <c r="L118" t="s">
        <v>392</v>
      </c>
      <c r="M118" t="s">
        <v>42</v>
      </c>
      <c r="N118" s="1">
        <v>45475</v>
      </c>
      <c r="P118" t="s">
        <v>457</v>
      </c>
      <c r="Q118" t="s">
        <v>44</v>
      </c>
      <c r="R118" t="s">
        <v>462</v>
      </c>
      <c r="S118" t="s">
        <v>463</v>
      </c>
      <c r="T118" t="s">
        <v>396</v>
      </c>
      <c r="V118" t="s">
        <v>48</v>
      </c>
      <c r="W118" t="s">
        <v>396</v>
      </c>
      <c r="X118" t="s">
        <v>49</v>
      </c>
      <c r="Y118" t="s">
        <v>49</v>
      </c>
      <c r="Z118" t="s">
        <v>83</v>
      </c>
      <c r="AA118" t="s">
        <v>99</v>
      </c>
      <c r="AB118" t="s">
        <v>166</v>
      </c>
      <c r="AC118" t="s">
        <v>67</v>
      </c>
      <c r="AD118" t="s">
        <v>54</v>
      </c>
      <c r="AE118" t="s">
        <v>55</v>
      </c>
      <c r="AF118" t="s">
        <v>397</v>
      </c>
      <c r="AG118" t="s">
        <v>57</v>
      </c>
      <c r="AH118">
        <v>310</v>
      </c>
      <c r="AI118" t="s">
        <v>131</v>
      </c>
    </row>
    <row r="119" spans="1:35" x14ac:dyDescent="0.35">
      <c r="A119">
        <v>2211939</v>
      </c>
      <c r="B119">
        <v>2220244</v>
      </c>
      <c r="C119" s="1">
        <v>45046</v>
      </c>
      <c r="D119" s="1">
        <v>45041</v>
      </c>
      <c r="F119" t="s">
        <v>37</v>
      </c>
      <c r="G119" s="1">
        <v>45044.580555555556</v>
      </c>
      <c r="H119" t="s">
        <v>38</v>
      </c>
      <c r="I119" t="s">
        <v>195</v>
      </c>
      <c r="J119" t="s">
        <v>464</v>
      </c>
      <c r="K119" t="s">
        <v>465</v>
      </c>
      <c r="L119" t="s">
        <v>466</v>
      </c>
      <c r="M119" t="s">
        <v>42</v>
      </c>
      <c r="N119" s="1">
        <v>44937.484722222223</v>
      </c>
      <c r="O119" s="1">
        <v>44985.476388888892</v>
      </c>
      <c r="P119" s="2" t="s">
        <v>467</v>
      </c>
      <c r="Q119" s="2" t="s">
        <v>468</v>
      </c>
      <c r="V119" t="s">
        <v>48</v>
      </c>
      <c r="W119" t="s">
        <v>469</v>
      </c>
      <c r="X119" t="s">
        <v>49</v>
      </c>
      <c r="Y119" t="s">
        <v>49</v>
      </c>
      <c r="Z119" t="s">
        <v>282</v>
      </c>
      <c r="AA119" t="s">
        <v>470</v>
      </c>
      <c r="AB119" t="s">
        <v>202</v>
      </c>
      <c r="AC119" t="s">
        <v>203</v>
      </c>
      <c r="AD119" t="s">
        <v>54</v>
      </c>
      <c r="AE119" t="s">
        <v>55</v>
      </c>
      <c r="AF119" t="s">
        <v>471</v>
      </c>
      <c r="AG119" t="s">
        <v>57</v>
      </c>
      <c r="AH119">
        <v>310</v>
      </c>
      <c r="AI119" t="s">
        <v>131</v>
      </c>
    </row>
    <row r="120" spans="1:35" x14ac:dyDescent="0.35">
      <c r="A120">
        <v>2211939</v>
      </c>
      <c r="B120">
        <v>2220287</v>
      </c>
      <c r="C120" s="1">
        <v>45046</v>
      </c>
      <c r="D120" s="1">
        <v>45041</v>
      </c>
      <c r="F120" t="s">
        <v>37</v>
      </c>
      <c r="G120" s="1">
        <v>45044.583333333336</v>
      </c>
      <c r="H120" t="s">
        <v>38</v>
      </c>
      <c r="I120" t="s">
        <v>195</v>
      </c>
      <c r="J120" t="s">
        <v>464</v>
      </c>
      <c r="K120" t="s">
        <v>465</v>
      </c>
      <c r="L120" t="s">
        <v>466</v>
      </c>
      <c r="M120" t="s">
        <v>42</v>
      </c>
      <c r="N120" s="1">
        <v>44937.484722222223</v>
      </c>
      <c r="O120" s="1">
        <v>44985.476388888892</v>
      </c>
      <c r="P120" s="2" t="s">
        <v>472</v>
      </c>
      <c r="Q120" s="2" t="s">
        <v>473</v>
      </c>
      <c r="V120" t="s">
        <v>48</v>
      </c>
      <c r="W120" t="s">
        <v>469</v>
      </c>
      <c r="X120" t="s">
        <v>49</v>
      </c>
      <c r="Y120" t="s">
        <v>49</v>
      </c>
      <c r="Z120" t="s">
        <v>110</v>
      </c>
      <c r="AA120" t="s">
        <v>474</v>
      </c>
      <c r="AB120" t="s">
        <v>208</v>
      </c>
      <c r="AC120" t="s">
        <v>209</v>
      </c>
      <c r="AD120" t="s">
        <v>54</v>
      </c>
      <c r="AE120" t="s">
        <v>55</v>
      </c>
      <c r="AF120" t="s">
        <v>471</v>
      </c>
      <c r="AG120" t="s">
        <v>57</v>
      </c>
      <c r="AH120">
        <v>310</v>
      </c>
      <c r="AI120" t="s">
        <v>131</v>
      </c>
    </row>
    <row r="121" spans="1:35" x14ac:dyDescent="0.35">
      <c r="A121" t="s">
        <v>475</v>
      </c>
      <c r="B121" t="s">
        <v>476</v>
      </c>
      <c r="C121" s="1">
        <v>45202</v>
      </c>
      <c r="D121" s="1">
        <v>45201</v>
      </c>
      <c r="F121" t="s">
        <v>37</v>
      </c>
      <c r="H121" t="s">
        <v>38</v>
      </c>
      <c r="J121" t="s">
        <v>477</v>
      </c>
      <c r="K121" t="s">
        <v>391</v>
      </c>
      <c r="L121" t="s">
        <v>478</v>
      </c>
      <c r="M121" t="s">
        <v>42</v>
      </c>
      <c r="N121" s="1">
        <v>45142</v>
      </c>
      <c r="P121" t="s">
        <v>479</v>
      </c>
      <c r="Q121" t="s">
        <v>44</v>
      </c>
      <c r="R121" t="s">
        <v>480</v>
      </c>
      <c r="S121" t="s">
        <v>481</v>
      </c>
      <c r="T121" t="s">
        <v>129</v>
      </c>
      <c r="V121" t="s">
        <v>48</v>
      </c>
      <c r="W121" t="s">
        <v>129</v>
      </c>
      <c r="X121" t="s">
        <v>49</v>
      </c>
      <c r="Y121" t="s">
        <v>49</v>
      </c>
      <c r="Z121" t="s">
        <v>360</v>
      </c>
      <c r="AA121" t="s">
        <v>482</v>
      </c>
      <c r="AB121" t="s">
        <v>52</v>
      </c>
      <c r="AC121" t="s">
        <v>78</v>
      </c>
      <c r="AD121" t="s">
        <v>54</v>
      </c>
      <c r="AE121" t="s">
        <v>55</v>
      </c>
      <c r="AF121" t="s">
        <v>397</v>
      </c>
      <c r="AG121" t="s">
        <v>57</v>
      </c>
      <c r="AH121">
        <v>310</v>
      </c>
      <c r="AI121" t="s">
        <v>131</v>
      </c>
    </row>
    <row r="122" spans="1:35" x14ac:dyDescent="0.35">
      <c r="A122" t="s">
        <v>475</v>
      </c>
      <c r="B122" t="s">
        <v>483</v>
      </c>
      <c r="C122" s="1">
        <v>45202</v>
      </c>
      <c r="D122" s="1">
        <v>45201</v>
      </c>
      <c r="F122" t="s">
        <v>37</v>
      </c>
      <c r="H122" t="s">
        <v>38</v>
      </c>
      <c r="J122" t="s">
        <v>477</v>
      </c>
      <c r="K122" t="s">
        <v>391</v>
      </c>
      <c r="L122" t="s">
        <v>478</v>
      </c>
      <c r="M122" t="s">
        <v>42</v>
      </c>
      <c r="N122" s="1">
        <v>45142</v>
      </c>
      <c r="P122" t="s">
        <v>484</v>
      </c>
      <c r="Q122" t="s">
        <v>44</v>
      </c>
      <c r="R122" t="s">
        <v>485</v>
      </c>
      <c r="S122" t="s">
        <v>486</v>
      </c>
      <c r="T122" t="s">
        <v>129</v>
      </c>
      <c r="V122" t="s">
        <v>48</v>
      </c>
      <c r="W122" t="s">
        <v>129</v>
      </c>
      <c r="X122" t="s">
        <v>49</v>
      </c>
      <c r="Y122" t="s">
        <v>49</v>
      </c>
      <c r="Z122" t="s">
        <v>144</v>
      </c>
      <c r="AA122" t="s">
        <v>145</v>
      </c>
      <c r="AB122" t="s">
        <v>146</v>
      </c>
      <c r="AC122" t="s">
        <v>78</v>
      </c>
      <c r="AD122" t="s">
        <v>54</v>
      </c>
      <c r="AE122" t="s">
        <v>55</v>
      </c>
      <c r="AF122" t="s">
        <v>397</v>
      </c>
      <c r="AG122" t="s">
        <v>57</v>
      </c>
      <c r="AH122">
        <v>310</v>
      </c>
      <c r="AI122" t="s">
        <v>131</v>
      </c>
    </row>
    <row r="123" spans="1:35" x14ac:dyDescent="0.35">
      <c r="A123" t="s">
        <v>475</v>
      </c>
      <c r="B123" t="s">
        <v>483</v>
      </c>
      <c r="C123" s="1">
        <v>45202</v>
      </c>
      <c r="D123" s="1">
        <v>45201</v>
      </c>
      <c r="F123" t="s">
        <v>37</v>
      </c>
      <c r="H123" t="s">
        <v>38</v>
      </c>
      <c r="J123" t="s">
        <v>477</v>
      </c>
      <c r="K123" t="s">
        <v>391</v>
      </c>
      <c r="L123" t="s">
        <v>478</v>
      </c>
      <c r="M123" t="s">
        <v>42</v>
      </c>
      <c r="N123" s="1">
        <v>45142</v>
      </c>
      <c r="P123" t="s">
        <v>484</v>
      </c>
      <c r="Q123" t="s">
        <v>44</v>
      </c>
      <c r="R123" t="s">
        <v>487</v>
      </c>
      <c r="S123" t="s">
        <v>488</v>
      </c>
      <c r="T123" t="s">
        <v>129</v>
      </c>
      <c r="V123" t="s">
        <v>48</v>
      </c>
      <c r="W123" t="s">
        <v>129</v>
      </c>
      <c r="X123" t="s">
        <v>49</v>
      </c>
      <c r="Y123" t="s">
        <v>49</v>
      </c>
      <c r="Z123" t="s">
        <v>144</v>
      </c>
      <c r="AA123" t="s">
        <v>145</v>
      </c>
      <c r="AB123" t="s">
        <v>146</v>
      </c>
      <c r="AC123" t="s">
        <v>78</v>
      </c>
      <c r="AD123" t="s">
        <v>54</v>
      </c>
      <c r="AE123" t="s">
        <v>55</v>
      </c>
      <c r="AF123" t="s">
        <v>397</v>
      </c>
      <c r="AG123" t="s">
        <v>57</v>
      </c>
      <c r="AH123">
        <v>310</v>
      </c>
      <c r="AI123" t="s">
        <v>131</v>
      </c>
    </row>
    <row r="124" spans="1:35" x14ac:dyDescent="0.35">
      <c r="A124" t="s">
        <v>475</v>
      </c>
      <c r="B124" t="s">
        <v>483</v>
      </c>
      <c r="C124" s="1">
        <v>45202</v>
      </c>
      <c r="D124" s="1">
        <v>45201</v>
      </c>
      <c r="F124" t="s">
        <v>37</v>
      </c>
      <c r="H124" t="s">
        <v>38</v>
      </c>
      <c r="J124" t="s">
        <v>477</v>
      </c>
      <c r="K124" t="s">
        <v>391</v>
      </c>
      <c r="L124" t="s">
        <v>478</v>
      </c>
      <c r="M124" t="s">
        <v>42</v>
      </c>
      <c r="N124" s="1">
        <v>45142</v>
      </c>
      <c r="P124" t="s">
        <v>484</v>
      </c>
      <c r="Q124" t="s">
        <v>44</v>
      </c>
      <c r="R124" t="s">
        <v>489</v>
      </c>
      <c r="S124" t="s">
        <v>490</v>
      </c>
      <c r="T124" t="s">
        <v>129</v>
      </c>
      <c r="V124" t="s">
        <v>48</v>
      </c>
      <c r="W124" t="s">
        <v>129</v>
      </c>
      <c r="X124" t="s">
        <v>49</v>
      </c>
      <c r="Y124" t="s">
        <v>49</v>
      </c>
      <c r="Z124" t="s">
        <v>144</v>
      </c>
      <c r="AA124" t="s">
        <v>145</v>
      </c>
      <c r="AB124" t="s">
        <v>146</v>
      </c>
      <c r="AC124" t="s">
        <v>78</v>
      </c>
      <c r="AD124" t="s">
        <v>54</v>
      </c>
      <c r="AE124" t="s">
        <v>55</v>
      </c>
      <c r="AF124" t="s">
        <v>397</v>
      </c>
      <c r="AG124" t="s">
        <v>57</v>
      </c>
      <c r="AH124">
        <v>310</v>
      </c>
      <c r="AI124" t="s">
        <v>131</v>
      </c>
    </row>
    <row r="125" spans="1:35" x14ac:dyDescent="0.35">
      <c r="A125" t="s">
        <v>475</v>
      </c>
      <c r="B125" t="s">
        <v>483</v>
      </c>
      <c r="C125" s="1">
        <v>45202</v>
      </c>
      <c r="D125" s="1">
        <v>45201</v>
      </c>
      <c r="F125" t="s">
        <v>37</v>
      </c>
      <c r="H125" t="s">
        <v>38</v>
      </c>
      <c r="J125" t="s">
        <v>477</v>
      </c>
      <c r="K125" t="s">
        <v>391</v>
      </c>
      <c r="L125" t="s">
        <v>478</v>
      </c>
      <c r="M125" t="s">
        <v>42</v>
      </c>
      <c r="N125" s="1">
        <v>45142</v>
      </c>
      <c r="P125" t="s">
        <v>484</v>
      </c>
      <c r="Q125" t="s">
        <v>44</v>
      </c>
      <c r="R125" t="s">
        <v>491</v>
      </c>
      <c r="S125" t="s">
        <v>492</v>
      </c>
      <c r="T125" t="s">
        <v>129</v>
      </c>
      <c r="V125" t="s">
        <v>48</v>
      </c>
      <c r="W125" t="s">
        <v>129</v>
      </c>
      <c r="X125" t="s">
        <v>49</v>
      </c>
      <c r="Y125" t="s">
        <v>49</v>
      </c>
      <c r="Z125" t="s">
        <v>144</v>
      </c>
      <c r="AA125" t="s">
        <v>145</v>
      </c>
      <c r="AB125" t="s">
        <v>146</v>
      </c>
      <c r="AC125" t="s">
        <v>78</v>
      </c>
      <c r="AD125" t="s">
        <v>54</v>
      </c>
      <c r="AE125" t="s">
        <v>55</v>
      </c>
      <c r="AF125" t="s">
        <v>397</v>
      </c>
      <c r="AG125" t="s">
        <v>57</v>
      </c>
      <c r="AH125">
        <v>310</v>
      </c>
      <c r="AI125" t="s">
        <v>131</v>
      </c>
    </row>
    <row r="126" spans="1:35" x14ac:dyDescent="0.35">
      <c r="A126" t="s">
        <v>475</v>
      </c>
      <c r="B126" t="s">
        <v>493</v>
      </c>
      <c r="C126" s="1">
        <v>45202</v>
      </c>
      <c r="D126" s="1">
        <v>45201</v>
      </c>
      <c r="F126" t="s">
        <v>37</v>
      </c>
      <c r="H126" t="s">
        <v>38</v>
      </c>
      <c r="J126" t="s">
        <v>477</v>
      </c>
      <c r="K126" t="s">
        <v>391</v>
      </c>
      <c r="L126" t="s">
        <v>478</v>
      </c>
      <c r="M126" t="s">
        <v>42</v>
      </c>
      <c r="N126" s="1">
        <v>45142</v>
      </c>
      <c r="P126" t="s">
        <v>494</v>
      </c>
      <c r="Q126" t="s">
        <v>44</v>
      </c>
      <c r="R126" t="s">
        <v>495</v>
      </c>
      <c r="S126" t="s">
        <v>496</v>
      </c>
      <c r="T126" t="s">
        <v>129</v>
      </c>
      <c r="V126" t="s">
        <v>48</v>
      </c>
      <c r="W126" t="s">
        <v>129</v>
      </c>
      <c r="X126" t="s">
        <v>49</v>
      </c>
      <c r="Y126" t="s">
        <v>49</v>
      </c>
      <c r="Z126" t="s">
        <v>110</v>
      </c>
      <c r="AA126" t="s">
        <v>111</v>
      </c>
      <c r="AB126" t="s">
        <v>112</v>
      </c>
      <c r="AC126" t="s">
        <v>53</v>
      </c>
      <c r="AD126" t="s">
        <v>54</v>
      </c>
      <c r="AE126" t="s">
        <v>55</v>
      </c>
      <c r="AF126" t="s">
        <v>397</v>
      </c>
      <c r="AG126" t="s">
        <v>57</v>
      </c>
      <c r="AH126">
        <v>310</v>
      </c>
      <c r="AI126" t="s">
        <v>131</v>
      </c>
    </row>
    <row r="127" spans="1:35" x14ac:dyDescent="0.35">
      <c r="A127" t="s">
        <v>475</v>
      </c>
      <c r="B127" t="s">
        <v>493</v>
      </c>
      <c r="C127" s="1">
        <v>45202</v>
      </c>
      <c r="D127" s="1">
        <v>45201</v>
      </c>
      <c r="F127" t="s">
        <v>37</v>
      </c>
      <c r="H127" t="s">
        <v>38</v>
      </c>
      <c r="J127" t="s">
        <v>477</v>
      </c>
      <c r="K127" t="s">
        <v>391</v>
      </c>
      <c r="L127" t="s">
        <v>478</v>
      </c>
      <c r="M127" t="s">
        <v>42</v>
      </c>
      <c r="N127" s="1">
        <v>45142</v>
      </c>
      <c r="P127" t="s">
        <v>494</v>
      </c>
      <c r="Q127" t="s">
        <v>44</v>
      </c>
      <c r="R127" t="s">
        <v>497</v>
      </c>
      <c r="S127" t="s">
        <v>498</v>
      </c>
      <c r="T127" t="s">
        <v>129</v>
      </c>
      <c r="V127" t="s">
        <v>48</v>
      </c>
      <c r="W127" t="s">
        <v>129</v>
      </c>
      <c r="X127" t="s">
        <v>49</v>
      </c>
      <c r="Y127" t="s">
        <v>49</v>
      </c>
      <c r="Z127" t="s">
        <v>110</v>
      </c>
      <c r="AA127" t="s">
        <v>111</v>
      </c>
      <c r="AB127" t="s">
        <v>112</v>
      </c>
      <c r="AC127" t="s">
        <v>53</v>
      </c>
      <c r="AD127" t="s">
        <v>54</v>
      </c>
      <c r="AE127" t="s">
        <v>55</v>
      </c>
      <c r="AF127" t="s">
        <v>397</v>
      </c>
      <c r="AG127" t="s">
        <v>57</v>
      </c>
      <c r="AH127">
        <v>310</v>
      </c>
      <c r="AI127" t="s">
        <v>131</v>
      </c>
    </row>
    <row r="128" spans="1:35" x14ac:dyDescent="0.35">
      <c r="A128" t="s">
        <v>475</v>
      </c>
      <c r="B128" t="s">
        <v>493</v>
      </c>
      <c r="C128" s="1">
        <v>45202</v>
      </c>
      <c r="D128" s="1">
        <v>45201</v>
      </c>
      <c r="F128" t="s">
        <v>37</v>
      </c>
      <c r="H128" t="s">
        <v>38</v>
      </c>
      <c r="J128" t="s">
        <v>477</v>
      </c>
      <c r="K128" t="s">
        <v>391</v>
      </c>
      <c r="L128" t="s">
        <v>478</v>
      </c>
      <c r="M128" t="s">
        <v>42</v>
      </c>
      <c r="N128" s="1">
        <v>45142</v>
      </c>
      <c r="P128" t="s">
        <v>494</v>
      </c>
      <c r="Q128" t="s">
        <v>44</v>
      </c>
      <c r="R128" t="s">
        <v>499</v>
      </c>
      <c r="S128" t="s">
        <v>500</v>
      </c>
      <c r="T128" t="s">
        <v>129</v>
      </c>
      <c r="V128" t="s">
        <v>48</v>
      </c>
      <c r="W128" t="s">
        <v>129</v>
      </c>
      <c r="X128" t="s">
        <v>49</v>
      </c>
      <c r="Y128" t="s">
        <v>49</v>
      </c>
      <c r="Z128" t="s">
        <v>110</v>
      </c>
      <c r="AA128" t="s">
        <v>111</v>
      </c>
      <c r="AB128" t="s">
        <v>112</v>
      </c>
      <c r="AC128" t="s">
        <v>53</v>
      </c>
      <c r="AD128" t="s">
        <v>54</v>
      </c>
      <c r="AE128" t="s">
        <v>55</v>
      </c>
      <c r="AF128" t="s">
        <v>397</v>
      </c>
      <c r="AG128" t="s">
        <v>57</v>
      </c>
      <c r="AH128">
        <v>310</v>
      </c>
      <c r="AI128" t="s">
        <v>131</v>
      </c>
    </row>
    <row r="129" spans="1:35" x14ac:dyDescent="0.35">
      <c r="A129" t="s">
        <v>475</v>
      </c>
      <c r="B129" t="s">
        <v>501</v>
      </c>
      <c r="C129" s="1">
        <v>45202</v>
      </c>
      <c r="D129" s="1">
        <v>45188</v>
      </c>
      <c r="F129" t="s">
        <v>37</v>
      </c>
      <c r="H129" t="s">
        <v>38</v>
      </c>
      <c r="J129" t="s">
        <v>477</v>
      </c>
      <c r="K129" t="s">
        <v>391</v>
      </c>
      <c r="L129" t="s">
        <v>478</v>
      </c>
      <c r="M129" t="s">
        <v>42</v>
      </c>
      <c r="N129" s="1">
        <v>45142</v>
      </c>
      <c r="P129" t="s">
        <v>502</v>
      </c>
      <c r="Q129" t="s">
        <v>44</v>
      </c>
      <c r="R129" t="s">
        <v>503</v>
      </c>
      <c r="S129" t="s">
        <v>504</v>
      </c>
      <c r="T129" t="s">
        <v>129</v>
      </c>
      <c r="V129" t="s">
        <v>48</v>
      </c>
      <c r="W129" t="s">
        <v>129</v>
      </c>
      <c r="X129" t="s">
        <v>49</v>
      </c>
      <c r="Y129" t="s">
        <v>49</v>
      </c>
      <c r="Z129" t="s">
        <v>104</v>
      </c>
      <c r="AA129" t="s">
        <v>105</v>
      </c>
      <c r="AB129" t="s">
        <v>161</v>
      </c>
      <c r="AC129" t="s">
        <v>78</v>
      </c>
      <c r="AD129" t="s">
        <v>54</v>
      </c>
      <c r="AE129" t="s">
        <v>55</v>
      </c>
      <c r="AF129" t="s">
        <v>397</v>
      </c>
      <c r="AG129" t="s">
        <v>57</v>
      </c>
      <c r="AH129">
        <v>310</v>
      </c>
      <c r="AI129" t="s">
        <v>131</v>
      </c>
    </row>
    <row r="130" spans="1:35" x14ac:dyDescent="0.35">
      <c r="A130" t="s">
        <v>475</v>
      </c>
      <c r="B130" t="s">
        <v>505</v>
      </c>
      <c r="C130" s="1">
        <v>45202</v>
      </c>
      <c r="D130" s="1">
        <v>45184</v>
      </c>
      <c r="F130" t="s">
        <v>37</v>
      </c>
      <c r="H130" t="s">
        <v>38</v>
      </c>
      <c r="J130" t="s">
        <v>477</v>
      </c>
      <c r="K130" t="s">
        <v>391</v>
      </c>
      <c r="L130" t="s">
        <v>478</v>
      </c>
      <c r="M130" t="s">
        <v>42</v>
      </c>
      <c r="N130" s="1">
        <v>45142</v>
      </c>
      <c r="P130" t="s">
        <v>506</v>
      </c>
      <c r="Q130" t="s">
        <v>44</v>
      </c>
      <c r="R130" t="s">
        <v>503</v>
      </c>
      <c r="S130" t="s">
        <v>507</v>
      </c>
      <c r="T130" t="s">
        <v>129</v>
      </c>
      <c r="V130" t="s">
        <v>48</v>
      </c>
      <c r="W130" t="s">
        <v>129</v>
      </c>
      <c r="X130" t="s">
        <v>49</v>
      </c>
      <c r="Y130" t="s">
        <v>49</v>
      </c>
      <c r="Z130" t="s">
        <v>282</v>
      </c>
      <c r="AA130" t="s">
        <v>283</v>
      </c>
      <c r="AB130" t="s">
        <v>387</v>
      </c>
      <c r="AC130" t="s">
        <v>78</v>
      </c>
      <c r="AD130" t="s">
        <v>54</v>
      </c>
      <c r="AE130" t="s">
        <v>55</v>
      </c>
      <c r="AF130" t="s">
        <v>397</v>
      </c>
      <c r="AG130" t="s">
        <v>57</v>
      </c>
      <c r="AH130">
        <v>310</v>
      </c>
      <c r="AI130" t="s">
        <v>131</v>
      </c>
    </row>
    <row r="131" spans="1:35" x14ac:dyDescent="0.35">
      <c r="A131" t="s">
        <v>475</v>
      </c>
      <c r="B131" t="s">
        <v>508</v>
      </c>
      <c r="C131" s="1">
        <v>45202</v>
      </c>
      <c r="D131" s="1">
        <v>45184</v>
      </c>
      <c r="F131" t="s">
        <v>37</v>
      </c>
      <c r="H131" t="s">
        <v>38</v>
      </c>
      <c r="J131" t="s">
        <v>477</v>
      </c>
      <c r="K131" t="s">
        <v>391</v>
      </c>
      <c r="L131" t="s">
        <v>478</v>
      </c>
      <c r="M131" t="s">
        <v>42</v>
      </c>
      <c r="N131" s="1">
        <v>45142</v>
      </c>
      <c r="P131" t="s">
        <v>509</v>
      </c>
      <c r="Q131" t="s">
        <v>44</v>
      </c>
      <c r="R131" t="s">
        <v>503</v>
      </c>
      <c r="S131" t="s">
        <v>504</v>
      </c>
      <c r="T131" t="s">
        <v>129</v>
      </c>
      <c r="V131" t="s">
        <v>48</v>
      </c>
      <c r="W131" t="s">
        <v>129</v>
      </c>
      <c r="X131" t="s">
        <v>49</v>
      </c>
      <c r="Y131" t="s">
        <v>49</v>
      </c>
      <c r="Z131" t="s">
        <v>76</v>
      </c>
      <c r="AA131" t="s">
        <v>178</v>
      </c>
      <c r="AB131" t="s">
        <v>179</v>
      </c>
      <c r="AC131" t="s">
        <v>78</v>
      </c>
      <c r="AD131" t="s">
        <v>54</v>
      </c>
      <c r="AE131" t="s">
        <v>55</v>
      </c>
      <c r="AF131" t="s">
        <v>397</v>
      </c>
      <c r="AG131" t="s">
        <v>57</v>
      </c>
      <c r="AH131">
        <v>310</v>
      </c>
      <c r="AI131" t="s">
        <v>131</v>
      </c>
    </row>
    <row r="132" spans="1:35" x14ac:dyDescent="0.35">
      <c r="A132" t="s">
        <v>475</v>
      </c>
      <c r="B132" t="s">
        <v>510</v>
      </c>
      <c r="C132" s="1">
        <v>45202</v>
      </c>
      <c r="D132" s="1">
        <v>45188</v>
      </c>
      <c r="F132" t="s">
        <v>37</v>
      </c>
      <c r="H132" t="s">
        <v>38</v>
      </c>
      <c r="J132" t="s">
        <v>477</v>
      </c>
      <c r="K132" t="s">
        <v>391</v>
      </c>
      <c r="L132" t="s">
        <v>478</v>
      </c>
      <c r="M132" t="s">
        <v>42</v>
      </c>
      <c r="N132" s="1">
        <v>45142</v>
      </c>
      <c r="P132" t="s">
        <v>511</v>
      </c>
      <c r="Q132" t="s">
        <v>44</v>
      </c>
      <c r="R132" t="s">
        <v>512</v>
      </c>
      <c r="S132" t="s">
        <v>513</v>
      </c>
      <c r="T132" t="s">
        <v>129</v>
      </c>
      <c r="V132" t="s">
        <v>48</v>
      </c>
      <c r="W132" t="s">
        <v>129</v>
      </c>
      <c r="X132" t="s">
        <v>49</v>
      </c>
      <c r="Y132" t="s">
        <v>49</v>
      </c>
      <c r="Z132" t="s">
        <v>83</v>
      </c>
      <c r="AA132" t="s">
        <v>99</v>
      </c>
      <c r="AB132" t="s">
        <v>52</v>
      </c>
      <c r="AC132" t="s">
        <v>78</v>
      </c>
      <c r="AD132" t="s">
        <v>54</v>
      </c>
      <c r="AE132" t="s">
        <v>55</v>
      </c>
      <c r="AF132" t="s">
        <v>397</v>
      </c>
      <c r="AG132" t="s">
        <v>57</v>
      </c>
      <c r="AH132">
        <v>310</v>
      </c>
      <c r="AI132" t="s">
        <v>131</v>
      </c>
    </row>
    <row r="133" spans="1:35" x14ac:dyDescent="0.35">
      <c r="A133" t="s">
        <v>475</v>
      </c>
      <c r="B133" t="s">
        <v>510</v>
      </c>
      <c r="C133" s="1">
        <v>45202</v>
      </c>
      <c r="D133" s="1">
        <v>45188</v>
      </c>
      <c r="F133" t="s">
        <v>37</v>
      </c>
      <c r="H133" t="s">
        <v>38</v>
      </c>
      <c r="J133" t="s">
        <v>477</v>
      </c>
      <c r="K133" t="s">
        <v>391</v>
      </c>
      <c r="L133" t="s">
        <v>478</v>
      </c>
      <c r="M133" t="s">
        <v>42</v>
      </c>
      <c r="N133" s="1">
        <v>45142</v>
      </c>
      <c r="P133" t="s">
        <v>511</v>
      </c>
      <c r="Q133" t="s">
        <v>44</v>
      </c>
      <c r="R133" t="s">
        <v>503</v>
      </c>
      <c r="S133" t="s">
        <v>514</v>
      </c>
      <c r="T133" t="s">
        <v>129</v>
      </c>
      <c r="V133" t="s">
        <v>48</v>
      </c>
      <c r="W133" t="s">
        <v>129</v>
      </c>
      <c r="X133" t="s">
        <v>49</v>
      </c>
      <c r="Y133" t="s">
        <v>49</v>
      </c>
      <c r="Z133" t="s">
        <v>83</v>
      </c>
      <c r="AA133" t="s">
        <v>99</v>
      </c>
      <c r="AB133" t="s">
        <v>52</v>
      </c>
      <c r="AC133" t="s">
        <v>78</v>
      </c>
      <c r="AD133" t="s">
        <v>54</v>
      </c>
      <c r="AE133" t="s">
        <v>55</v>
      </c>
      <c r="AF133" t="s">
        <v>397</v>
      </c>
      <c r="AG133" t="s">
        <v>57</v>
      </c>
      <c r="AH133">
        <v>310</v>
      </c>
      <c r="AI133" t="s">
        <v>131</v>
      </c>
    </row>
    <row r="134" spans="1:35" x14ac:dyDescent="0.35">
      <c r="A134" t="s">
        <v>475</v>
      </c>
      <c r="B134" t="s">
        <v>510</v>
      </c>
      <c r="C134" s="1">
        <v>45202</v>
      </c>
      <c r="D134" s="1">
        <v>45188</v>
      </c>
      <c r="F134" t="s">
        <v>37</v>
      </c>
      <c r="H134" t="s">
        <v>38</v>
      </c>
      <c r="J134" t="s">
        <v>477</v>
      </c>
      <c r="K134" t="s">
        <v>391</v>
      </c>
      <c r="L134" t="s">
        <v>478</v>
      </c>
      <c r="M134" t="s">
        <v>42</v>
      </c>
      <c r="N134" s="1">
        <v>45142</v>
      </c>
      <c r="P134" t="s">
        <v>511</v>
      </c>
      <c r="Q134" t="s">
        <v>44</v>
      </c>
      <c r="R134" t="s">
        <v>503</v>
      </c>
      <c r="S134" t="s">
        <v>515</v>
      </c>
      <c r="T134" t="s">
        <v>129</v>
      </c>
      <c r="V134" t="s">
        <v>48</v>
      </c>
      <c r="W134" t="s">
        <v>129</v>
      </c>
      <c r="X134" t="s">
        <v>49</v>
      </c>
      <c r="Y134" t="s">
        <v>49</v>
      </c>
      <c r="Z134" t="s">
        <v>83</v>
      </c>
      <c r="AA134" t="s">
        <v>99</v>
      </c>
      <c r="AB134" t="s">
        <v>52</v>
      </c>
      <c r="AC134" t="s">
        <v>78</v>
      </c>
      <c r="AD134" t="s">
        <v>54</v>
      </c>
      <c r="AE134" t="s">
        <v>55</v>
      </c>
      <c r="AF134" t="s">
        <v>397</v>
      </c>
      <c r="AG134" t="s">
        <v>57</v>
      </c>
      <c r="AH134">
        <v>310</v>
      </c>
      <c r="AI134" t="s">
        <v>131</v>
      </c>
    </row>
    <row r="135" spans="1:35" x14ac:dyDescent="0.35">
      <c r="A135" t="s">
        <v>475</v>
      </c>
      <c r="B135" t="s">
        <v>510</v>
      </c>
      <c r="C135" s="1">
        <v>45202</v>
      </c>
      <c r="D135" s="1">
        <v>45188</v>
      </c>
      <c r="F135" t="s">
        <v>37</v>
      </c>
      <c r="H135" t="s">
        <v>38</v>
      </c>
      <c r="J135" t="s">
        <v>477</v>
      </c>
      <c r="K135" t="s">
        <v>391</v>
      </c>
      <c r="L135" t="s">
        <v>478</v>
      </c>
      <c r="M135" t="s">
        <v>42</v>
      </c>
      <c r="N135" s="1">
        <v>45142</v>
      </c>
      <c r="P135" t="s">
        <v>511</v>
      </c>
      <c r="Q135" t="s">
        <v>44</v>
      </c>
      <c r="R135" t="s">
        <v>503</v>
      </c>
      <c r="S135" t="s">
        <v>516</v>
      </c>
      <c r="T135" t="s">
        <v>129</v>
      </c>
      <c r="V135" t="s">
        <v>48</v>
      </c>
      <c r="W135" t="s">
        <v>129</v>
      </c>
      <c r="X135" t="s">
        <v>49</v>
      </c>
      <c r="Y135" t="s">
        <v>49</v>
      </c>
      <c r="Z135" t="s">
        <v>83</v>
      </c>
      <c r="AA135" t="s">
        <v>99</v>
      </c>
      <c r="AB135" t="s">
        <v>52</v>
      </c>
      <c r="AC135" t="s">
        <v>78</v>
      </c>
      <c r="AD135" t="s">
        <v>54</v>
      </c>
      <c r="AE135" t="s">
        <v>55</v>
      </c>
      <c r="AF135" t="s">
        <v>397</v>
      </c>
      <c r="AG135" t="s">
        <v>57</v>
      </c>
      <c r="AH135">
        <v>310</v>
      </c>
      <c r="AI135" t="s">
        <v>131</v>
      </c>
    </row>
    <row r="136" spans="1:35" x14ac:dyDescent="0.35">
      <c r="A136" t="s">
        <v>475</v>
      </c>
      <c r="B136" t="s">
        <v>510</v>
      </c>
      <c r="C136" s="1">
        <v>45202</v>
      </c>
      <c r="D136" s="1">
        <v>45188</v>
      </c>
      <c r="F136" t="s">
        <v>37</v>
      </c>
      <c r="H136" t="s">
        <v>38</v>
      </c>
      <c r="J136" t="s">
        <v>477</v>
      </c>
      <c r="K136" t="s">
        <v>391</v>
      </c>
      <c r="L136" t="s">
        <v>478</v>
      </c>
      <c r="M136" t="s">
        <v>42</v>
      </c>
      <c r="N136" s="1">
        <v>45142</v>
      </c>
      <c r="P136" t="s">
        <v>511</v>
      </c>
      <c r="Q136" t="s">
        <v>44</v>
      </c>
      <c r="R136" t="s">
        <v>517</v>
      </c>
      <c r="S136" t="s">
        <v>518</v>
      </c>
      <c r="T136" t="s">
        <v>129</v>
      </c>
      <c r="V136" t="s">
        <v>48</v>
      </c>
      <c r="W136" t="s">
        <v>129</v>
      </c>
      <c r="X136" t="s">
        <v>49</v>
      </c>
      <c r="Y136" t="s">
        <v>49</v>
      </c>
      <c r="Z136" t="s">
        <v>83</v>
      </c>
      <c r="AA136" t="s">
        <v>99</v>
      </c>
      <c r="AB136" t="s">
        <v>52</v>
      </c>
      <c r="AC136" t="s">
        <v>78</v>
      </c>
      <c r="AD136" t="s">
        <v>54</v>
      </c>
      <c r="AE136" t="s">
        <v>55</v>
      </c>
      <c r="AF136" t="s">
        <v>397</v>
      </c>
      <c r="AG136" t="s">
        <v>57</v>
      </c>
      <c r="AH136">
        <v>310</v>
      </c>
      <c r="AI136" t="s">
        <v>131</v>
      </c>
    </row>
    <row r="137" spans="1:35" x14ac:dyDescent="0.35">
      <c r="A137" t="s">
        <v>475</v>
      </c>
      <c r="B137" t="s">
        <v>510</v>
      </c>
      <c r="C137" s="1">
        <v>45202</v>
      </c>
      <c r="D137" s="1">
        <v>45188</v>
      </c>
      <c r="F137" t="s">
        <v>37</v>
      </c>
      <c r="H137" t="s">
        <v>38</v>
      </c>
      <c r="J137" t="s">
        <v>477</v>
      </c>
      <c r="K137" t="s">
        <v>391</v>
      </c>
      <c r="L137" t="s">
        <v>478</v>
      </c>
      <c r="M137" t="s">
        <v>42</v>
      </c>
      <c r="N137" s="1">
        <v>45142</v>
      </c>
      <c r="P137" t="s">
        <v>511</v>
      </c>
      <c r="Q137" t="s">
        <v>44</v>
      </c>
      <c r="R137" t="s">
        <v>503</v>
      </c>
      <c r="S137" t="s">
        <v>519</v>
      </c>
      <c r="T137" t="s">
        <v>129</v>
      </c>
      <c r="V137" t="s">
        <v>48</v>
      </c>
      <c r="W137" t="s">
        <v>129</v>
      </c>
      <c r="X137" t="s">
        <v>49</v>
      </c>
      <c r="Y137" t="s">
        <v>49</v>
      </c>
      <c r="Z137" t="s">
        <v>83</v>
      </c>
      <c r="AA137" t="s">
        <v>99</v>
      </c>
      <c r="AB137" t="s">
        <v>52</v>
      </c>
      <c r="AC137" t="s">
        <v>78</v>
      </c>
      <c r="AD137" t="s">
        <v>54</v>
      </c>
      <c r="AE137" t="s">
        <v>55</v>
      </c>
      <c r="AF137" t="s">
        <v>397</v>
      </c>
      <c r="AG137" t="s">
        <v>57</v>
      </c>
      <c r="AH137">
        <v>310</v>
      </c>
      <c r="AI137" t="s">
        <v>131</v>
      </c>
    </row>
    <row r="138" spans="1:35" x14ac:dyDescent="0.35">
      <c r="A138" t="s">
        <v>475</v>
      </c>
      <c r="B138" t="s">
        <v>510</v>
      </c>
      <c r="C138" s="1">
        <v>45202</v>
      </c>
      <c r="D138" s="1">
        <v>45188</v>
      </c>
      <c r="F138" t="s">
        <v>37</v>
      </c>
      <c r="H138" t="s">
        <v>38</v>
      </c>
      <c r="J138" t="s">
        <v>477</v>
      </c>
      <c r="K138" t="s">
        <v>391</v>
      </c>
      <c r="L138" t="s">
        <v>478</v>
      </c>
      <c r="M138" t="s">
        <v>42</v>
      </c>
      <c r="N138" s="1">
        <v>45142</v>
      </c>
      <c r="P138" t="s">
        <v>511</v>
      </c>
      <c r="Q138" t="s">
        <v>44</v>
      </c>
      <c r="R138" t="s">
        <v>520</v>
      </c>
      <c r="S138" t="s">
        <v>521</v>
      </c>
      <c r="T138" t="s">
        <v>129</v>
      </c>
      <c r="V138" t="s">
        <v>48</v>
      </c>
      <c r="W138" t="s">
        <v>129</v>
      </c>
      <c r="X138" t="s">
        <v>49</v>
      </c>
      <c r="Y138" t="s">
        <v>49</v>
      </c>
      <c r="Z138" t="s">
        <v>83</v>
      </c>
      <c r="AA138" t="s">
        <v>99</v>
      </c>
      <c r="AB138" t="s">
        <v>52</v>
      </c>
      <c r="AC138" t="s">
        <v>78</v>
      </c>
      <c r="AD138" t="s">
        <v>54</v>
      </c>
      <c r="AE138" t="s">
        <v>55</v>
      </c>
      <c r="AF138" t="s">
        <v>397</v>
      </c>
      <c r="AG138" t="s">
        <v>57</v>
      </c>
      <c r="AH138">
        <v>310</v>
      </c>
      <c r="AI138" t="s">
        <v>131</v>
      </c>
    </row>
    <row r="139" spans="1:35" x14ac:dyDescent="0.35">
      <c r="A139" t="s">
        <v>475</v>
      </c>
      <c r="B139" t="s">
        <v>522</v>
      </c>
      <c r="C139" s="1">
        <v>45202</v>
      </c>
      <c r="D139" s="1">
        <v>45202</v>
      </c>
      <c r="F139" t="s">
        <v>37</v>
      </c>
      <c r="H139" t="s">
        <v>38</v>
      </c>
      <c r="J139" t="s">
        <v>477</v>
      </c>
      <c r="K139" t="s">
        <v>391</v>
      </c>
      <c r="L139" t="s">
        <v>478</v>
      </c>
      <c r="M139" t="s">
        <v>42</v>
      </c>
      <c r="N139" s="1">
        <v>45142</v>
      </c>
      <c r="P139" t="s">
        <v>523</v>
      </c>
      <c r="Q139" t="s">
        <v>44</v>
      </c>
      <c r="R139" t="s">
        <v>524</v>
      </c>
      <c r="S139" t="s">
        <v>525</v>
      </c>
      <c r="T139" t="s">
        <v>129</v>
      </c>
      <c r="V139" t="s">
        <v>48</v>
      </c>
      <c r="W139" t="s">
        <v>129</v>
      </c>
      <c r="X139" t="s">
        <v>49</v>
      </c>
      <c r="Y139" t="s">
        <v>49</v>
      </c>
      <c r="Z139" t="s">
        <v>144</v>
      </c>
      <c r="AA139" t="s">
        <v>145</v>
      </c>
      <c r="AB139" t="s">
        <v>146</v>
      </c>
      <c r="AC139" t="s">
        <v>53</v>
      </c>
      <c r="AD139" t="s">
        <v>54</v>
      </c>
      <c r="AE139" t="s">
        <v>55</v>
      </c>
      <c r="AF139" t="s">
        <v>397</v>
      </c>
      <c r="AG139" t="s">
        <v>57</v>
      </c>
      <c r="AH139">
        <v>310</v>
      </c>
      <c r="AI139" t="s">
        <v>131</v>
      </c>
    </row>
    <row r="140" spans="1:35" x14ac:dyDescent="0.35">
      <c r="A140" t="s">
        <v>475</v>
      </c>
      <c r="B140" t="s">
        <v>526</v>
      </c>
      <c r="C140" s="1">
        <v>45202</v>
      </c>
      <c r="D140" s="1">
        <v>45188</v>
      </c>
      <c r="F140" t="s">
        <v>37</v>
      </c>
      <c r="H140" t="s">
        <v>38</v>
      </c>
      <c r="J140" t="s">
        <v>477</v>
      </c>
      <c r="K140" t="s">
        <v>391</v>
      </c>
      <c r="L140" t="s">
        <v>478</v>
      </c>
      <c r="M140" t="s">
        <v>42</v>
      </c>
      <c r="N140" s="1">
        <v>45142</v>
      </c>
      <c r="P140" t="s">
        <v>527</v>
      </c>
      <c r="Q140" t="s">
        <v>44</v>
      </c>
      <c r="R140" t="s">
        <v>528</v>
      </c>
      <c r="S140" t="s">
        <v>529</v>
      </c>
      <c r="T140" t="s">
        <v>129</v>
      </c>
      <c r="V140" t="s">
        <v>48</v>
      </c>
      <c r="W140" t="s">
        <v>129</v>
      </c>
      <c r="X140" t="s">
        <v>49</v>
      </c>
      <c r="Y140" t="s">
        <v>49</v>
      </c>
      <c r="Z140" t="s">
        <v>151</v>
      </c>
      <c r="AA140" t="s">
        <v>152</v>
      </c>
      <c r="AB140" t="s">
        <v>52</v>
      </c>
      <c r="AC140" t="s">
        <v>67</v>
      </c>
      <c r="AD140" t="s">
        <v>54</v>
      </c>
      <c r="AE140" t="s">
        <v>55</v>
      </c>
      <c r="AF140" t="s">
        <v>397</v>
      </c>
      <c r="AG140" t="s">
        <v>57</v>
      </c>
      <c r="AH140">
        <v>310</v>
      </c>
      <c r="AI140" t="s">
        <v>131</v>
      </c>
    </row>
    <row r="141" spans="1:35" x14ac:dyDescent="0.35">
      <c r="A141" t="s">
        <v>475</v>
      </c>
      <c r="B141" t="s">
        <v>526</v>
      </c>
      <c r="C141" s="1">
        <v>45202</v>
      </c>
      <c r="D141" s="1">
        <v>45188</v>
      </c>
      <c r="F141" t="s">
        <v>37</v>
      </c>
      <c r="H141" t="s">
        <v>38</v>
      </c>
      <c r="J141" t="s">
        <v>477</v>
      </c>
      <c r="K141" t="s">
        <v>391</v>
      </c>
      <c r="L141" t="s">
        <v>478</v>
      </c>
      <c r="M141" t="s">
        <v>42</v>
      </c>
      <c r="N141" s="1">
        <v>45142</v>
      </c>
      <c r="P141" t="s">
        <v>527</v>
      </c>
      <c r="Q141" t="s">
        <v>44</v>
      </c>
      <c r="R141" t="s">
        <v>503</v>
      </c>
      <c r="S141" t="s">
        <v>530</v>
      </c>
      <c r="T141" t="s">
        <v>129</v>
      </c>
      <c r="V141" t="s">
        <v>48</v>
      </c>
      <c r="W141" t="s">
        <v>129</v>
      </c>
      <c r="X141" t="s">
        <v>49</v>
      </c>
      <c r="Y141" t="s">
        <v>49</v>
      </c>
      <c r="Z141" t="s">
        <v>151</v>
      </c>
      <c r="AA141" t="s">
        <v>152</v>
      </c>
      <c r="AB141" t="s">
        <v>52</v>
      </c>
      <c r="AC141" t="s">
        <v>67</v>
      </c>
      <c r="AD141" t="s">
        <v>54</v>
      </c>
      <c r="AE141" t="s">
        <v>55</v>
      </c>
      <c r="AF141" t="s">
        <v>397</v>
      </c>
      <c r="AG141" t="s">
        <v>57</v>
      </c>
      <c r="AH141">
        <v>310</v>
      </c>
      <c r="AI141" t="s">
        <v>131</v>
      </c>
    </row>
    <row r="142" spans="1:35" x14ac:dyDescent="0.35">
      <c r="A142" t="s">
        <v>475</v>
      </c>
      <c r="B142" t="s">
        <v>526</v>
      </c>
      <c r="C142" s="1">
        <v>45202</v>
      </c>
      <c r="D142" s="1">
        <v>45188</v>
      </c>
      <c r="F142" t="s">
        <v>37</v>
      </c>
      <c r="H142" t="s">
        <v>38</v>
      </c>
      <c r="J142" t="s">
        <v>477</v>
      </c>
      <c r="K142" t="s">
        <v>391</v>
      </c>
      <c r="L142" t="s">
        <v>478</v>
      </c>
      <c r="M142" t="s">
        <v>42</v>
      </c>
      <c r="N142" s="1">
        <v>45142</v>
      </c>
      <c r="P142" t="s">
        <v>527</v>
      </c>
      <c r="Q142" t="s">
        <v>44</v>
      </c>
      <c r="R142" t="s">
        <v>503</v>
      </c>
      <c r="S142" t="s">
        <v>531</v>
      </c>
      <c r="T142" t="s">
        <v>129</v>
      </c>
      <c r="V142" t="s">
        <v>48</v>
      </c>
      <c r="W142" t="s">
        <v>129</v>
      </c>
      <c r="X142" t="s">
        <v>49</v>
      </c>
      <c r="Y142" t="s">
        <v>49</v>
      </c>
      <c r="Z142" t="s">
        <v>151</v>
      </c>
      <c r="AA142" t="s">
        <v>152</v>
      </c>
      <c r="AB142" t="s">
        <v>52</v>
      </c>
      <c r="AC142" t="s">
        <v>67</v>
      </c>
      <c r="AD142" t="s">
        <v>54</v>
      </c>
      <c r="AE142" t="s">
        <v>55</v>
      </c>
      <c r="AF142" t="s">
        <v>397</v>
      </c>
      <c r="AG142" t="s">
        <v>57</v>
      </c>
      <c r="AH142">
        <v>310</v>
      </c>
      <c r="AI142" t="s">
        <v>131</v>
      </c>
    </row>
    <row r="143" spans="1:35" x14ac:dyDescent="0.35">
      <c r="A143" t="s">
        <v>532</v>
      </c>
      <c r="B143" t="s">
        <v>533</v>
      </c>
      <c r="C143" s="1">
        <v>45478</v>
      </c>
      <c r="D143" s="1">
        <v>45478</v>
      </c>
      <c r="F143" t="s">
        <v>37</v>
      </c>
      <c r="H143" t="s">
        <v>38</v>
      </c>
      <c r="J143" t="s">
        <v>534</v>
      </c>
      <c r="K143" t="s">
        <v>465</v>
      </c>
      <c r="L143" t="s">
        <v>535</v>
      </c>
      <c r="M143" t="s">
        <v>42</v>
      </c>
      <c r="N143" s="1">
        <v>45497</v>
      </c>
      <c r="P143" t="s">
        <v>536</v>
      </c>
      <c r="Q143" t="s">
        <v>44</v>
      </c>
      <c r="R143" t="s">
        <v>537</v>
      </c>
      <c r="S143" t="s">
        <v>538</v>
      </c>
      <c r="T143" t="s">
        <v>539</v>
      </c>
      <c r="V143" t="s">
        <v>48</v>
      </c>
      <c r="W143" t="s">
        <v>539</v>
      </c>
      <c r="X143" t="s">
        <v>49</v>
      </c>
      <c r="Y143" t="s">
        <v>49</v>
      </c>
      <c r="Z143" t="s">
        <v>104</v>
      </c>
      <c r="AA143" t="s">
        <v>105</v>
      </c>
      <c r="AB143" t="s">
        <v>161</v>
      </c>
      <c r="AC143" t="s">
        <v>138</v>
      </c>
      <c r="AD143" t="s">
        <v>54</v>
      </c>
      <c r="AE143" t="s">
        <v>55</v>
      </c>
      <c r="AF143" t="s">
        <v>471</v>
      </c>
      <c r="AG143" t="s">
        <v>57</v>
      </c>
      <c r="AH143">
        <v>310</v>
      </c>
      <c r="AI143" t="s">
        <v>131</v>
      </c>
    </row>
    <row r="144" spans="1:35" x14ac:dyDescent="0.35">
      <c r="A144" t="s">
        <v>532</v>
      </c>
      <c r="B144" t="s">
        <v>540</v>
      </c>
      <c r="C144" s="1">
        <v>45539</v>
      </c>
      <c r="D144" s="1">
        <v>45539</v>
      </c>
      <c r="F144" t="s">
        <v>37</v>
      </c>
      <c r="H144" t="s">
        <v>38</v>
      </c>
      <c r="J144" t="s">
        <v>534</v>
      </c>
      <c r="K144" t="s">
        <v>465</v>
      </c>
      <c r="L144" t="s">
        <v>535</v>
      </c>
      <c r="M144" t="s">
        <v>42</v>
      </c>
      <c r="N144" s="1">
        <v>45497</v>
      </c>
      <c r="P144" t="s">
        <v>541</v>
      </c>
      <c r="Q144" t="s">
        <v>44</v>
      </c>
      <c r="R144" t="s">
        <v>542</v>
      </c>
      <c r="S144" t="s">
        <v>543</v>
      </c>
      <c r="T144" t="s">
        <v>539</v>
      </c>
      <c r="V144" t="s">
        <v>48</v>
      </c>
      <c r="W144" t="s">
        <v>539</v>
      </c>
      <c r="X144" t="s">
        <v>49</v>
      </c>
      <c r="Y144" t="s">
        <v>49</v>
      </c>
      <c r="Z144" t="s">
        <v>360</v>
      </c>
      <c r="AA144" t="s">
        <v>544</v>
      </c>
      <c r="AB144" t="s">
        <v>545</v>
      </c>
      <c r="AC144" t="s">
        <v>78</v>
      </c>
      <c r="AD144" t="s">
        <v>54</v>
      </c>
      <c r="AE144" t="s">
        <v>55</v>
      </c>
      <c r="AF144" t="s">
        <v>471</v>
      </c>
      <c r="AG144" t="s">
        <v>57</v>
      </c>
      <c r="AH144">
        <v>310</v>
      </c>
      <c r="AI144" t="s">
        <v>131</v>
      </c>
    </row>
    <row r="145" spans="1:35" x14ac:dyDescent="0.35">
      <c r="A145" t="s">
        <v>532</v>
      </c>
      <c r="B145" t="s">
        <v>540</v>
      </c>
      <c r="C145" s="1">
        <v>45539</v>
      </c>
      <c r="D145" s="1">
        <v>45539</v>
      </c>
      <c r="F145" t="s">
        <v>37</v>
      </c>
      <c r="H145" t="s">
        <v>38</v>
      </c>
      <c r="J145" t="s">
        <v>534</v>
      </c>
      <c r="K145" t="s">
        <v>465</v>
      </c>
      <c r="L145" t="s">
        <v>535</v>
      </c>
      <c r="M145" t="s">
        <v>42</v>
      </c>
      <c r="N145" s="1">
        <v>45497</v>
      </c>
      <c r="P145" t="s">
        <v>541</v>
      </c>
      <c r="Q145" t="s">
        <v>44</v>
      </c>
      <c r="R145" t="s">
        <v>546</v>
      </c>
      <c r="S145" t="s">
        <v>547</v>
      </c>
      <c r="T145" t="s">
        <v>539</v>
      </c>
      <c r="V145" t="s">
        <v>48</v>
      </c>
      <c r="W145" t="s">
        <v>539</v>
      </c>
      <c r="X145" t="s">
        <v>49</v>
      </c>
      <c r="Y145" t="s">
        <v>49</v>
      </c>
      <c r="Z145" t="s">
        <v>360</v>
      </c>
      <c r="AA145" t="s">
        <v>544</v>
      </c>
      <c r="AB145" t="s">
        <v>545</v>
      </c>
      <c r="AC145" t="s">
        <v>78</v>
      </c>
      <c r="AD145" t="s">
        <v>54</v>
      </c>
      <c r="AE145" t="s">
        <v>55</v>
      </c>
      <c r="AF145" t="s">
        <v>471</v>
      </c>
      <c r="AG145" t="s">
        <v>57</v>
      </c>
      <c r="AH145">
        <v>310</v>
      </c>
      <c r="AI145" t="s">
        <v>131</v>
      </c>
    </row>
    <row r="146" spans="1:35" x14ac:dyDescent="0.35">
      <c r="A146" t="s">
        <v>532</v>
      </c>
      <c r="B146" t="s">
        <v>548</v>
      </c>
      <c r="C146" s="1">
        <v>45539</v>
      </c>
      <c r="D146" s="1">
        <v>45476</v>
      </c>
      <c r="F146" t="s">
        <v>37</v>
      </c>
      <c r="H146" t="s">
        <v>38</v>
      </c>
      <c r="J146" t="s">
        <v>534</v>
      </c>
      <c r="K146" t="s">
        <v>465</v>
      </c>
      <c r="L146" t="s">
        <v>535</v>
      </c>
      <c r="M146" t="s">
        <v>42</v>
      </c>
      <c r="N146" s="1">
        <v>45497</v>
      </c>
      <c r="P146" t="s">
        <v>549</v>
      </c>
      <c r="Q146" t="s">
        <v>44</v>
      </c>
      <c r="R146" t="s">
        <v>550</v>
      </c>
      <c r="S146" t="s">
        <v>551</v>
      </c>
      <c r="T146" t="s">
        <v>539</v>
      </c>
      <c r="V146" t="s">
        <v>48</v>
      </c>
      <c r="W146" t="s">
        <v>539</v>
      </c>
      <c r="X146" t="s">
        <v>49</v>
      </c>
      <c r="Y146" t="s">
        <v>49</v>
      </c>
      <c r="Z146" t="s">
        <v>144</v>
      </c>
      <c r="AA146" t="s">
        <v>145</v>
      </c>
      <c r="AB146" t="s">
        <v>146</v>
      </c>
      <c r="AC146" t="s">
        <v>67</v>
      </c>
      <c r="AD146" t="s">
        <v>54</v>
      </c>
      <c r="AE146" t="s">
        <v>55</v>
      </c>
      <c r="AF146" t="s">
        <v>471</v>
      </c>
      <c r="AG146" t="s">
        <v>57</v>
      </c>
      <c r="AH146">
        <v>310</v>
      </c>
      <c r="AI146" t="s">
        <v>131</v>
      </c>
    </row>
    <row r="147" spans="1:35" x14ac:dyDescent="0.35">
      <c r="A147" t="s">
        <v>532</v>
      </c>
      <c r="B147" t="s">
        <v>548</v>
      </c>
      <c r="C147" s="1">
        <v>45539</v>
      </c>
      <c r="D147" s="1">
        <v>45476</v>
      </c>
      <c r="F147" t="s">
        <v>37</v>
      </c>
      <c r="H147" t="s">
        <v>38</v>
      </c>
      <c r="J147" t="s">
        <v>534</v>
      </c>
      <c r="K147" t="s">
        <v>465</v>
      </c>
      <c r="L147" t="s">
        <v>535</v>
      </c>
      <c r="M147" t="s">
        <v>42</v>
      </c>
      <c r="N147" s="1">
        <v>45497</v>
      </c>
      <c r="P147" t="s">
        <v>549</v>
      </c>
      <c r="Q147" t="s">
        <v>44</v>
      </c>
      <c r="S147" t="s">
        <v>552</v>
      </c>
      <c r="T147" t="s">
        <v>539</v>
      </c>
      <c r="V147" t="s">
        <v>48</v>
      </c>
      <c r="W147" t="s">
        <v>539</v>
      </c>
      <c r="X147" t="s">
        <v>49</v>
      </c>
      <c r="Y147" t="s">
        <v>49</v>
      </c>
      <c r="Z147" t="s">
        <v>144</v>
      </c>
      <c r="AA147" t="s">
        <v>145</v>
      </c>
      <c r="AB147" t="s">
        <v>146</v>
      </c>
      <c r="AC147" t="s">
        <v>67</v>
      </c>
      <c r="AD147" t="s">
        <v>54</v>
      </c>
      <c r="AE147" t="s">
        <v>55</v>
      </c>
      <c r="AF147" t="s">
        <v>471</v>
      </c>
      <c r="AG147" t="s">
        <v>57</v>
      </c>
      <c r="AH147">
        <v>310</v>
      </c>
      <c r="AI147" t="s">
        <v>131</v>
      </c>
    </row>
    <row r="148" spans="1:35" x14ac:dyDescent="0.35">
      <c r="A148" t="s">
        <v>532</v>
      </c>
      <c r="B148" t="s">
        <v>553</v>
      </c>
      <c r="C148" s="1">
        <v>45478</v>
      </c>
      <c r="D148" s="1">
        <v>45478</v>
      </c>
      <c r="F148" t="s">
        <v>37</v>
      </c>
      <c r="H148" t="s">
        <v>38</v>
      </c>
      <c r="J148" t="s">
        <v>534</v>
      </c>
      <c r="K148" t="s">
        <v>465</v>
      </c>
      <c r="L148" t="s">
        <v>535</v>
      </c>
      <c r="M148" t="s">
        <v>42</v>
      </c>
      <c r="N148" s="1">
        <v>45497</v>
      </c>
      <c r="P148" s="2" t="s">
        <v>554</v>
      </c>
      <c r="Q148" t="s">
        <v>44</v>
      </c>
      <c r="R148" t="s">
        <v>555</v>
      </c>
      <c r="S148" t="s">
        <v>556</v>
      </c>
      <c r="T148" t="s">
        <v>539</v>
      </c>
      <c r="V148" t="s">
        <v>48</v>
      </c>
      <c r="W148" t="s">
        <v>539</v>
      </c>
      <c r="X148" t="s">
        <v>49</v>
      </c>
      <c r="Y148" t="s">
        <v>49</v>
      </c>
      <c r="Z148" t="s">
        <v>83</v>
      </c>
      <c r="AA148" t="s">
        <v>99</v>
      </c>
      <c r="AB148" t="s">
        <v>52</v>
      </c>
      <c r="AC148" t="s">
        <v>67</v>
      </c>
      <c r="AD148" t="s">
        <v>54</v>
      </c>
      <c r="AE148" t="s">
        <v>55</v>
      </c>
      <c r="AF148" t="s">
        <v>471</v>
      </c>
      <c r="AG148" t="s">
        <v>57</v>
      </c>
      <c r="AH148">
        <v>310</v>
      </c>
      <c r="AI148" t="s">
        <v>131</v>
      </c>
    </row>
    <row r="149" spans="1:35" x14ac:dyDescent="0.35">
      <c r="A149" t="s">
        <v>532</v>
      </c>
      <c r="B149" t="s">
        <v>553</v>
      </c>
      <c r="C149" s="1">
        <v>45478</v>
      </c>
      <c r="D149" s="1">
        <v>45478</v>
      </c>
      <c r="F149" t="s">
        <v>37</v>
      </c>
      <c r="H149" t="s">
        <v>38</v>
      </c>
      <c r="J149" t="s">
        <v>534</v>
      </c>
      <c r="K149" t="s">
        <v>465</v>
      </c>
      <c r="L149" t="s">
        <v>535</v>
      </c>
      <c r="M149" t="s">
        <v>42</v>
      </c>
      <c r="N149" s="1">
        <v>45497</v>
      </c>
      <c r="P149" s="2" t="s">
        <v>554</v>
      </c>
      <c r="Q149" t="s">
        <v>44</v>
      </c>
      <c r="S149" t="s">
        <v>557</v>
      </c>
      <c r="T149" t="s">
        <v>539</v>
      </c>
      <c r="V149" t="s">
        <v>48</v>
      </c>
      <c r="W149" t="s">
        <v>539</v>
      </c>
      <c r="X149" t="s">
        <v>49</v>
      </c>
      <c r="Y149" t="s">
        <v>49</v>
      </c>
      <c r="Z149" t="s">
        <v>83</v>
      </c>
      <c r="AA149" t="s">
        <v>99</v>
      </c>
      <c r="AB149" t="s">
        <v>52</v>
      </c>
      <c r="AC149" t="s">
        <v>67</v>
      </c>
      <c r="AD149" t="s">
        <v>54</v>
      </c>
      <c r="AE149" t="s">
        <v>55</v>
      </c>
      <c r="AF149" t="s">
        <v>471</v>
      </c>
      <c r="AG149" t="s">
        <v>57</v>
      </c>
      <c r="AH149">
        <v>310</v>
      </c>
      <c r="AI149" t="s">
        <v>131</v>
      </c>
    </row>
    <row r="150" spans="1:35" x14ac:dyDescent="0.35">
      <c r="A150" t="s">
        <v>532</v>
      </c>
      <c r="B150" t="s">
        <v>558</v>
      </c>
      <c r="C150" s="1">
        <v>45478</v>
      </c>
      <c r="D150" s="1">
        <v>45478</v>
      </c>
      <c r="F150" t="s">
        <v>37</v>
      </c>
      <c r="H150" t="s">
        <v>38</v>
      </c>
      <c r="J150" t="s">
        <v>534</v>
      </c>
      <c r="K150" t="s">
        <v>465</v>
      </c>
      <c r="L150" t="s">
        <v>535</v>
      </c>
      <c r="M150" t="s">
        <v>42</v>
      </c>
      <c r="N150" s="1">
        <v>45497</v>
      </c>
      <c r="P150" t="s">
        <v>559</v>
      </c>
      <c r="Q150" t="s">
        <v>44</v>
      </c>
      <c r="R150" t="s">
        <v>560</v>
      </c>
      <c r="S150" t="s">
        <v>561</v>
      </c>
      <c r="T150" t="s">
        <v>539</v>
      </c>
      <c r="V150" t="s">
        <v>48</v>
      </c>
      <c r="W150" t="s">
        <v>539</v>
      </c>
      <c r="X150" t="s">
        <v>49</v>
      </c>
      <c r="Y150" t="s">
        <v>49</v>
      </c>
      <c r="Z150" t="s">
        <v>151</v>
      </c>
      <c r="AA150" t="s">
        <v>152</v>
      </c>
      <c r="AB150" t="s">
        <v>52</v>
      </c>
      <c r="AC150" t="s">
        <v>67</v>
      </c>
      <c r="AD150" t="s">
        <v>54</v>
      </c>
      <c r="AE150" t="s">
        <v>55</v>
      </c>
      <c r="AF150" t="s">
        <v>471</v>
      </c>
      <c r="AG150" t="s">
        <v>57</v>
      </c>
      <c r="AH150">
        <v>310</v>
      </c>
      <c r="AI150" t="s">
        <v>131</v>
      </c>
    </row>
    <row r="151" spans="1:35" x14ac:dyDescent="0.35">
      <c r="A151" t="s">
        <v>532</v>
      </c>
      <c r="B151" t="s">
        <v>562</v>
      </c>
      <c r="C151" s="1">
        <v>45539</v>
      </c>
      <c r="D151" s="1">
        <v>45525</v>
      </c>
      <c r="F151" t="s">
        <v>37</v>
      </c>
      <c r="H151" t="s">
        <v>38</v>
      </c>
      <c r="J151" t="s">
        <v>534</v>
      </c>
      <c r="K151" t="s">
        <v>465</v>
      </c>
      <c r="L151" t="s">
        <v>535</v>
      </c>
      <c r="M151" t="s">
        <v>42</v>
      </c>
      <c r="N151" s="1">
        <v>45497</v>
      </c>
      <c r="P151" t="s">
        <v>563</v>
      </c>
      <c r="Q151" t="s">
        <v>44</v>
      </c>
      <c r="R151" t="s">
        <v>564</v>
      </c>
      <c r="S151" t="s">
        <v>565</v>
      </c>
      <c r="T151" t="s">
        <v>539</v>
      </c>
      <c r="V151" t="s">
        <v>48</v>
      </c>
      <c r="W151" t="s">
        <v>539</v>
      </c>
      <c r="X151" t="s">
        <v>49</v>
      </c>
      <c r="Y151" t="s">
        <v>49</v>
      </c>
      <c r="Z151" t="s">
        <v>110</v>
      </c>
      <c r="AA151" t="s">
        <v>111</v>
      </c>
      <c r="AB151" t="s">
        <v>223</v>
      </c>
      <c r="AC151" t="s">
        <v>53</v>
      </c>
      <c r="AD151" t="s">
        <v>54</v>
      </c>
      <c r="AE151" t="s">
        <v>55</v>
      </c>
      <c r="AF151" t="s">
        <v>471</v>
      </c>
      <c r="AG151" t="s">
        <v>57</v>
      </c>
      <c r="AH151">
        <v>310</v>
      </c>
      <c r="AI151" t="s">
        <v>131</v>
      </c>
    </row>
    <row r="152" spans="1:35" x14ac:dyDescent="0.35">
      <c r="A152" t="s">
        <v>532</v>
      </c>
      <c r="B152" t="s">
        <v>566</v>
      </c>
      <c r="C152" s="1">
        <v>45478</v>
      </c>
      <c r="D152" s="1">
        <v>45476</v>
      </c>
      <c r="F152" t="s">
        <v>37</v>
      </c>
      <c r="H152" t="s">
        <v>38</v>
      </c>
      <c r="J152" t="s">
        <v>534</v>
      </c>
      <c r="K152" t="s">
        <v>465</v>
      </c>
      <c r="L152" t="s">
        <v>535</v>
      </c>
      <c r="M152" t="s">
        <v>42</v>
      </c>
      <c r="N152" s="1">
        <v>45497</v>
      </c>
      <c r="P152" t="s">
        <v>567</v>
      </c>
      <c r="Q152" t="s">
        <v>44</v>
      </c>
      <c r="R152" t="s">
        <v>568</v>
      </c>
      <c r="S152" t="s">
        <v>569</v>
      </c>
      <c r="T152" t="s">
        <v>539</v>
      </c>
      <c r="V152" t="s">
        <v>48</v>
      </c>
      <c r="W152" t="s">
        <v>539</v>
      </c>
      <c r="X152" t="s">
        <v>49</v>
      </c>
      <c r="Y152" t="s">
        <v>49</v>
      </c>
      <c r="Z152" t="s">
        <v>50</v>
      </c>
      <c r="AA152" t="s">
        <v>51</v>
      </c>
      <c r="AB152" t="s">
        <v>570</v>
      </c>
      <c r="AC152" t="s">
        <v>138</v>
      </c>
      <c r="AD152" t="s">
        <v>54</v>
      </c>
      <c r="AE152" t="s">
        <v>55</v>
      </c>
      <c r="AF152" t="s">
        <v>471</v>
      </c>
      <c r="AG152" t="s">
        <v>57</v>
      </c>
      <c r="AH152">
        <v>310</v>
      </c>
      <c r="AI152" t="s">
        <v>131</v>
      </c>
    </row>
    <row r="153" spans="1:35" x14ac:dyDescent="0.35">
      <c r="A153" t="s">
        <v>532</v>
      </c>
      <c r="B153" t="s">
        <v>571</v>
      </c>
      <c r="C153" s="1">
        <v>45539</v>
      </c>
      <c r="D153" s="1">
        <v>45478</v>
      </c>
      <c r="F153" t="s">
        <v>37</v>
      </c>
      <c r="H153" t="s">
        <v>38</v>
      </c>
      <c r="J153" t="s">
        <v>534</v>
      </c>
      <c r="K153" t="s">
        <v>465</v>
      </c>
      <c r="L153" t="s">
        <v>535</v>
      </c>
      <c r="M153" t="s">
        <v>42</v>
      </c>
      <c r="N153" s="1">
        <v>45497</v>
      </c>
      <c r="P153" t="s">
        <v>572</v>
      </c>
      <c r="Q153" t="s">
        <v>44</v>
      </c>
      <c r="R153" t="s">
        <v>573</v>
      </c>
      <c r="S153" t="s">
        <v>574</v>
      </c>
      <c r="T153" t="s">
        <v>539</v>
      </c>
      <c r="V153" t="s">
        <v>48</v>
      </c>
      <c r="W153" t="s">
        <v>539</v>
      </c>
      <c r="X153" t="s">
        <v>49</v>
      </c>
      <c r="Y153" t="s">
        <v>49</v>
      </c>
      <c r="Z153" t="s">
        <v>331</v>
      </c>
      <c r="AA153" t="s">
        <v>332</v>
      </c>
      <c r="AB153" t="s">
        <v>179</v>
      </c>
      <c r="AC153" t="s">
        <v>67</v>
      </c>
      <c r="AD153" t="s">
        <v>54</v>
      </c>
      <c r="AE153" t="s">
        <v>55</v>
      </c>
      <c r="AF153" t="s">
        <v>471</v>
      </c>
      <c r="AG153" t="s">
        <v>57</v>
      </c>
      <c r="AH153">
        <v>310</v>
      </c>
      <c r="AI153" t="s">
        <v>131</v>
      </c>
    </row>
    <row r="154" spans="1:35" x14ac:dyDescent="0.35">
      <c r="A154" t="s">
        <v>388</v>
      </c>
      <c r="B154" t="s">
        <v>575</v>
      </c>
      <c r="C154" s="1">
        <v>45930</v>
      </c>
      <c r="D154" s="1">
        <v>45562</v>
      </c>
      <c r="F154" t="s">
        <v>37</v>
      </c>
      <c r="H154" t="s">
        <v>38</v>
      </c>
      <c r="J154" t="s">
        <v>390</v>
      </c>
      <c r="K154" t="s">
        <v>391</v>
      </c>
      <c r="L154" t="s">
        <v>392</v>
      </c>
      <c r="M154" t="s">
        <v>42</v>
      </c>
      <c r="N154" s="1">
        <v>45475</v>
      </c>
      <c r="P154" t="s">
        <v>576</v>
      </c>
      <c r="Q154" t="s">
        <v>44</v>
      </c>
      <c r="R154" t="s">
        <v>577</v>
      </c>
      <c r="S154" t="s">
        <v>578</v>
      </c>
      <c r="T154" t="s">
        <v>396</v>
      </c>
      <c r="V154" t="s">
        <v>48</v>
      </c>
      <c r="W154" t="s">
        <v>396</v>
      </c>
      <c r="X154" t="s">
        <v>49</v>
      </c>
      <c r="Y154" t="s">
        <v>49</v>
      </c>
      <c r="Z154" t="s">
        <v>151</v>
      </c>
      <c r="AA154" t="s">
        <v>152</v>
      </c>
      <c r="AB154" t="s">
        <v>52</v>
      </c>
      <c r="AC154" t="s">
        <v>67</v>
      </c>
      <c r="AD154" t="s">
        <v>54</v>
      </c>
      <c r="AE154" t="s">
        <v>55</v>
      </c>
      <c r="AF154" t="s">
        <v>397</v>
      </c>
      <c r="AG154" t="s">
        <v>57</v>
      </c>
      <c r="AH154">
        <v>310</v>
      </c>
      <c r="AI154" t="s">
        <v>131</v>
      </c>
    </row>
    <row r="155" spans="1:35" x14ac:dyDescent="0.35">
      <c r="A155" t="s">
        <v>388</v>
      </c>
      <c r="B155" t="s">
        <v>575</v>
      </c>
      <c r="C155" s="1">
        <v>45930</v>
      </c>
      <c r="D155" s="1">
        <v>45562</v>
      </c>
      <c r="F155" t="s">
        <v>37</v>
      </c>
      <c r="H155" t="s">
        <v>38</v>
      </c>
      <c r="J155" t="s">
        <v>390</v>
      </c>
      <c r="K155" t="s">
        <v>391</v>
      </c>
      <c r="L155" t="s">
        <v>392</v>
      </c>
      <c r="M155" t="s">
        <v>42</v>
      </c>
      <c r="N155" s="1">
        <v>45475</v>
      </c>
      <c r="P155" t="s">
        <v>576</v>
      </c>
      <c r="Q155" t="s">
        <v>44</v>
      </c>
      <c r="R155" t="s">
        <v>579</v>
      </c>
      <c r="S155" t="s">
        <v>580</v>
      </c>
      <c r="T155" t="s">
        <v>396</v>
      </c>
      <c r="V155" t="s">
        <v>48</v>
      </c>
      <c r="W155" t="s">
        <v>396</v>
      </c>
      <c r="X155" t="s">
        <v>49</v>
      </c>
      <c r="Y155" t="s">
        <v>49</v>
      </c>
      <c r="Z155" t="s">
        <v>151</v>
      </c>
      <c r="AA155" t="s">
        <v>152</v>
      </c>
      <c r="AB155" t="s">
        <v>52</v>
      </c>
      <c r="AC155" t="s">
        <v>67</v>
      </c>
      <c r="AD155" t="s">
        <v>54</v>
      </c>
      <c r="AE155" t="s">
        <v>55</v>
      </c>
      <c r="AF155" t="s">
        <v>397</v>
      </c>
      <c r="AG155" t="s">
        <v>57</v>
      </c>
      <c r="AH155">
        <v>310</v>
      </c>
      <c r="AI155" t="s">
        <v>131</v>
      </c>
    </row>
    <row r="156" spans="1:35" x14ac:dyDescent="0.35">
      <c r="A156" t="s">
        <v>388</v>
      </c>
      <c r="B156" t="s">
        <v>575</v>
      </c>
      <c r="C156" s="1">
        <v>45930</v>
      </c>
      <c r="D156" s="1">
        <v>45562</v>
      </c>
      <c r="F156" t="s">
        <v>37</v>
      </c>
      <c r="H156" t="s">
        <v>38</v>
      </c>
      <c r="J156" t="s">
        <v>390</v>
      </c>
      <c r="K156" t="s">
        <v>391</v>
      </c>
      <c r="L156" t="s">
        <v>392</v>
      </c>
      <c r="M156" t="s">
        <v>42</v>
      </c>
      <c r="N156" s="1">
        <v>45475</v>
      </c>
      <c r="P156" t="s">
        <v>576</v>
      </c>
      <c r="Q156" t="s">
        <v>44</v>
      </c>
      <c r="R156" t="s">
        <v>581</v>
      </c>
      <c r="S156" t="s">
        <v>582</v>
      </c>
      <c r="T156" t="s">
        <v>396</v>
      </c>
      <c r="V156" t="s">
        <v>48</v>
      </c>
      <c r="W156" t="s">
        <v>396</v>
      </c>
      <c r="X156" t="s">
        <v>49</v>
      </c>
      <c r="Y156" t="s">
        <v>49</v>
      </c>
      <c r="Z156" t="s">
        <v>151</v>
      </c>
      <c r="AA156" t="s">
        <v>152</v>
      </c>
      <c r="AB156" t="s">
        <v>52</v>
      </c>
      <c r="AC156" t="s">
        <v>67</v>
      </c>
      <c r="AD156" t="s">
        <v>54</v>
      </c>
      <c r="AE156" t="s">
        <v>55</v>
      </c>
      <c r="AF156" t="s">
        <v>397</v>
      </c>
      <c r="AG156" t="s">
        <v>57</v>
      </c>
      <c r="AH156">
        <v>310</v>
      </c>
      <c r="AI156" t="s">
        <v>131</v>
      </c>
    </row>
    <row r="157" spans="1:35" x14ac:dyDescent="0.35">
      <c r="A157" t="s">
        <v>388</v>
      </c>
      <c r="B157" t="s">
        <v>575</v>
      </c>
      <c r="C157" s="1">
        <v>45930</v>
      </c>
      <c r="D157" s="1">
        <v>45562</v>
      </c>
      <c r="F157" t="s">
        <v>37</v>
      </c>
      <c r="H157" t="s">
        <v>38</v>
      </c>
      <c r="J157" t="s">
        <v>390</v>
      </c>
      <c r="K157" t="s">
        <v>391</v>
      </c>
      <c r="L157" t="s">
        <v>392</v>
      </c>
      <c r="M157" t="s">
        <v>42</v>
      </c>
      <c r="N157" s="1">
        <v>45475</v>
      </c>
      <c r="P157" t="s">
        <v>576</v>
      </c>
      <c r="Q157" t="s">
        <v>44</v>
      </c>
      <c r="R157" t="s">
        <v>583</v>
      </c>
      <c r="S157" t="s">
        <v>584</v>
      </c>
      <c r="T157" t="s">
        <v>396</v>
      </c>
      <c r="V157" t="s">
        <v>48</v>
      </c>
      <c r="W157" t="s">
        <v>396</v>
      </c>
      <c r="X157" t="s">
        <v>49</v>
      </c>
      <c r="Y157" t="s">
        <v>49</v>
      </c>
      <c r="Z157" t="s">
        <v>151</v>
      </c>
      <c r="AA157" t="s">
        <v>152</v>
      </c>
      <c r="AB157" t="s">
        <v>52</v>
      </c>
      <c r="AC157" t="s">
        <v>67</v>
      </c>
      <c r="AD157" t="s">
        <v>54</v>
      </c>
      <c r="AE157" t="s">
        <v>55</v>
      </c>
      <c r="AF157" t="s">
        <v>397</v>
      </c>
      <c r="AG157" t="s">
        <v>57</v>
      </c>
      <c r="AH157">
        <v>310</v>
      </c>
      <c r="AI157" t="s">
        <v>131</v>
      </c>
    </row>
    <row r="158" spans="1:35" x14ac:dyDescent="0.35">
      <c r="A158" t="s">
        <v>388</v>
      </c>
      <c r="B158" t="s">
        <v>585</v>
      </c>
      <c r="C158" s="1">
        <v>45565</v>
      </c>
      <c r="D158" s="1">
        <v>45553</v>
      </c>
      <c r="F158" t="s">
        <v>37</v>
      </c>
      <c r="H158" t="s">
        <v>38</v>
      </c>
      <c r="J158" t="s">
        <v>390</v>
      </c>
      <c r="K158" t="s">
        <v>391</v>
      </c>
      <c r="L158" t="s">
        <v>392</v>
      </c>
      <c r="M158" t="s">
        <v>42</v>
      </c>
      <c r="N158" s="1">
        <v>45475</v>
      </c>
      <c r="P158" t="s">
        <v>586</v>
      </c>
      <c r="Q158" t="s">
        <v>44</v>
      </c>
      <c r="R158" t="s">
        <v>587</v>
      </c>
      <c r="S158" t="s">
        <v>588</v>
      </c>
      <c r="T158" t="s">
        <v>396</v>
      </c>
      <c r="V158" t="s">
        <v>48</v>
      </c>
      <c r="W158" t="s">
        <v>396</v>
      </c>
      <c r="X158" t="s">
        <v>49</v>
      </c>
      <c r="Y158" t="s">
        <v>49</v>
      </c>
      <c r="Z158" t="s">
        <v>144</v>
      </c>
      <c r="AA158" t="s">
        <v>145</v>
      </c>
      <c r="AB158" t="s">
        <v>146</v>
      </c>
      <c r="AC158" t="s">
        <v>67</v>
      </c>
      <c r="AD158" t="s">
        <v>54</v>
      </c>
      <c r="AE158" t="s">
        <v>55</v>
      </c>
      <c r="AF158" t="s">
        <v>397</v>
      </c>
      <c r="AG158" t="s">
        <v>57</v>
      </c>
      <c r="AH158">
        <v>310</v>
      </c>
      <c r="AI158" t="s">
        <v>131</v>
      </c>
    </row>
    <row r="159" spans="1:35" x14ac:dyDescent="0.35">
      <c r="A159" t="s">
        <v>388</v>
      </c>
      <c r="B159" t="s">
        <v>585</v>
      </c>
      <c r="C159" s="1">
        <v>45565</v>
      </c>
      <c r="D159" s="1">
        <v>45553</v>
      </c>
      <c r="F159" t="s">
        <v>37</v>
      </c>
      <c r="H159" t="s">
        <v>38</v>
      </c>
      <c r="J159" t="s">
        <v>390</v>
      </c>
      <c r="K159" t="s">
        <v>391</v>
      </c>
      <c r="L159" t="s">
        <v>392</v>
      </c>
      <c r="M159" t="s">
        <v>42</v>
      </c>
      <c r="N159" s="1">
        <v>45475</v>
      </c>
      <c r="P159" t="s">
        <v>586</v>
      </c>
      <c r="Q159" t="s">
        <v>44</v>
      </c>
      <c r="R159" t="s">
        <v>589</v>
      </c>
      <c r="S159" t="s">
        <v>590</v>
      </c>
      <c r="T159" t="s">
        <v>396</v>
      </c>
      <c r="V159" t="s">
        <v>48</v>
      </c>
      <c r="W159" t="s">
        <v>396</v>
      </c>
      <c r="X159" t="s">
        <v>49</v>
      </c>
      <c r="Y159" t="s">
        <v>49</v>
      </c>
      <c r="Z159" t="s">
        <v>144</v>
      </c>
      <c r="AA159" t="s">
        <v>145</v>
      </c>
      <c r="AB159" t="s">
        <v>146</v>
      </c>
      <c r="AC159" t="s">
        <v>67</v>
      </c>
      <c r="AD159" t="s">
        <v>54</v>
      </c>
      <c r="AE159" t="s">
        <v>55</v>
      </c>
      <c r="AF159" t="s">
        <v>397</v>
      </c>
      <c r="AG159" t="s">
        <v>57</v>
      </c>
      <c r="AH159">
        <v>310</v>
      </c>
      <c r="AI159" t="s">
        <v>131</v>
      </c>
    </row>
    <row r="160" spans="1:35" x14ac:dyDescent="0.35">
      <c r="A160" t="s">
        <v>388</v>
      </c>
      <c r="B160" t="s">
        <v>585</v>
      </c>
      <c r="C160" s="1">
        <v>45565</v>
      </c>
      <c r="D160" s="1">
        <v>45553</v>
      </c>
      <c r="F160" t="s">
        <v>37</v>
      </c>
      <c r="H160" t="s">
        <v>38</v>
      </c>
      <c r="J160" t="s">
        <v>390</v>
      </c>
      <c r="K160" t="s">
        <v>391</v>
      </c>
      <c r="L160" t="s">
        <v>392</v>
      </c>
      <c r="M160" t="s">
        <v>42</v>
      </c>
      <c r="N160" s="1">
        <v>45475</v>
      </c>
      <c r="P160" t="s">
        <v>586</v>
      </c>
      <c r="Q160" t="s">
        <v>44</v>
      </c>
      <c r="R160" t="s">
        <v>591</v>
      </c>
      <c r="S160" t="s">
        <v>592</v>
      </c>
      <c r="T160" t="s">
        <v>396</v>
      </c>
      <c r="V160" t="s">
        <v>48</v>
      </c>
      <c r="W160" t="s">
        <v>396</v>
      </c>
      <c r="X160" t="s">
        <v>49</v>
      </c>
      <c r="Y160" t="s">
        <v>49</v>
      </c>
      <c r="Z160" t="s">
        <v>144</v>
      </c>
      <c r="AA160" t="s">
        <v>145</v>
      </c>
      <c r="AB160" t="s">
        <v>146</v>
      </c>
      <c r="AC160" t="s">
        <v>67</v>
      </c>
      <c r="AD160" t="s">
        <v>54</v>
      </c>
      <c r="AE160" t="s">
        <v>55</v>
      </c>
      <c r="AF160" t="s">
        <v>397</v>
      </c>
      <c r="AG160" t="s">
        <v>57</v>
      </c>
      <c r="AH160">
        <v>310</v>
      </c>
      <c r="AI160" t="s">
        <v>131</v>
      </c>
    </row>
    <row r="161" spans="1:35" x14ac:dyDescent="0.35">
      <c r="A161" t="s">
        <v>388</v>
      </c>
      <c r="B161" t="s">
        <v>585</v>
      </c>
      <c r="C161" s="1">
        <v>45565</v>
      </c>
      <c r="D161" s="1">
        <v>45553</v>
      </c>
      <c r="F161" t="s">
        <v>37</v>
      </c>
      <c r="H161" t="s">
        <v>38</v>
      </c>
      <c r="J161" t="s">
        <v>390</v>
      </c>
      <c r="K161" t="s">
        <v>391</v>
      </c>
      <c r="L161" t="s">
        <v>392</v>
      </c>
      <c r="M161" t="s">
        <v>42</v>
      </c>
      <c r="N161" s="1">
        <v>45475</v>
      </c>
      <c r="P161" t="s">
        <v>586</v>
      </c>
      <c r="Q161" t="s">
        <v>44</v>
      </c>
      <c r="R161" t="s">
        <v>593</v>
      </c>
      <c r="S161" t="s">
        <v>594</v>
      </c>
      <c r="T161" t="s">
        <v>396</v>
      </c>
      <c r="V161" t="s">
        <v>48</v>
      </c>
      <c r="W161" t="s">
        <v>396</v>
      </c>
      <c r="X161" t="s">
        <v>49</v>
      </c>
      <c r="Y161" t="s">
        <v>49</v>
      </c>
      <c r="Z161" t="s">
        <v>144</v>
      </c>
      <c r="AA161" t="s">
        <v>145</v>
      </c>
      <c r="AB161" t="s">
        <v>146</v>
      </c>
      <c r="AC161" t="s">
        <v>67</v>
      </c>
      <c r="AD161" t="s">
        <v>54</v>
      </c>
      <c r="AE161" t="s">
        <v>55</v>
      </c>
      <c r="AF161" t="s">
        <v>397</v>
      </c>
      <c r="AG161" t="s">
        <v>57</v>
      </c>
      <c r="AH161">
        <v>310</v>
      </c>
      <c r="AI161" t="s">
        <v>131</v>
      </c>
    </row>
    <row r="162" spans="1:35" x14ac:dyDescent="0.35">
      <c r="A162">
        <v>2188349</v>
      </c>
      <c r="B162">
        <v>2195454</v>
      </c>
      <c r="C162" s="1">
        <v>44530</v>
      </c>
      <c r="D162" s="1">
        <v>44508</v>
      </c>
      <c r="F162" t="s">
        <v>37</v>
      </c>
      <c r="G162" s="1">
        <v>44530.870138888888</v>
      </c>
      <c r="H162" t="s">
        <v>38</v>
      </c>
      <c r="I162" t="s">
        <v>195</v>
      </c>
      <c r="J162" t="s">
        <v>595</v>
      </c>
      <c r="K162" t="s">
        <v>596</v>
      </c>
      <c r="L162" t="s">
        <v>597</v>
      </c>
      <c r="M162" t="s">
        <v>42</v>
      </c>
      <c r="N162" s="1">
        <v>44475.547222222223</v>
      </c>
      <c r="O162" s="1">
        <v>44502.556250000001</v>
      </c>
      <c r="P162" s="2" t="s">
        <v>598</v>
      </c>
      <c r="Q162" s="2" t="s">
        <v>599</v>
      </c>
      <c r="V162" t="s">
        <v>48</v>
      </c>
      <c r="W162" t="s">
        <v>600</v>
      </c>
      <c r="X162" t="s">
        <v>49</v>
      </c>
      <c r="Y162" t="s">
        <v>49</v>
      </c>
      <c r="Z162" t="s">
        <v>144</v>
      </c>
      <c r="AA162" t="s">
        <v>145</v>
      </c>
      <c r="AB162" t="s">
        <v>601</v>
      </c>
      <c r="AC162" t="s">
        <v>209</v>
      </c>
      <c r="AD162" t="s">
        <v>54</v>
      </c>
      <c r="AE162" t="s">
        <v>55</v>
      </c>
      <c r="AG162" t="s">
        <v>57</v>
      </c>
      <c r="AH162">
        <v>84</v>
      </c>
      <c r="AI162" t="s">
        <v>58</v>
      </c>
    </row>
    <row r="163" spans="1:35" x14ac:dyDescent="0.35">
      <c r="A163">
        <v>2188349</v>
      </c>
      <c r="B163">
        <v>2195457</v>
      </c>
      <c r="C163" s="1">
        <v>44530</v>
      </c>
      <c r="D163" s="1">
        <v>44502</v>
      </c>
      <c r="F163" t="s">
        <v>37</v>
      </c>
      <c r="G163" s="1">
        <v>44530.73333333333</v>
      </c>
      <c r="H163" t="s">
        <v>38</v>
      </c>
      <c r="I163" t="s">
        <v>195</v>
      </c>
      <c r="J163" t="s">
        <v>595</v>
      </c>
      <c r="K163" t="s">
        <v>596</v>
      </c>
      <c r="L163" t="s">
        <v>597</v>
      </c>
      <c r="M163" t="s">
        <v>42</v>
      </c>
      <c r="N163" s="1">
        <v>44475.547222222223</v>
      </c>
      <c r="O163" s="1">
        <v>44502.556250000001</v>
      </c>
      <c r="P163" s="2" t="s">
        <v>602</v>
      </c>
      <c r="Q163" t="s">
        <v>603</v>
      </c>
      <c r="V163" t="s">
        <v>48</v>
      </c>
      <c r="W163" t="s">
        <v>600</v>
      </c>
      <c r="X163" t="s">
        <v>49</v>
      </c>
      <c r="Y163" t="s">
        <v>49</v>
      </c>
      <c r="Z163" t="s">
        <v>64</v>
      </c>
      <c r="AA163" t="s">
        <v>65</v>
      </c>
      <c r="AB163" t="s">
        <v>604</v>
      </c>
      <c r="AC163" t="s">
        <v>209</v>
      </c>
      <c r="AD163" t="s">
        <v>54</v>
      </c>
      <c r="AE163" t="s">
        <v>55</v>
      </c>
      <c r="AG163" t="s">
        <v>57</v>
      </c>
      <c r="AH163">
        <v>84</v>
      </c>
      <c r="AI163" t="s">
        <v>58</v>
      </c>
    </row>
    <row r="164" spans="1:35" x14ac:dyDescent="0.35">
      <c r="A164">
        <v>2188349</v>
      </c>
      <c r="B164">
        <v>2195455</v>
      </c>
      <c r="C164" s="1">
        <v>44530</v>
      </c>
      <c r="D164" s="1">
        <v>44530</v>
      </c>
      <c r="F164" t="s">
        <v>37</v>
      </c>
      <c r="G164" s="1">
        <v>44557.300833333335</v>
      </c>
      <c r="H164" t="s">
        <v>60</v>
      </c>
      <c r="I164" t="s">
        <v>605</v>
      </c>
      <c r="J164" t="s">
        <v>595</v>
      </c>
      <c r="K164" t="s">
        <v>596</v>
      </c>
      <c r="L164" t="s">
        <v>597</v>
      </c>
      <c r="M164" t="s">
        <v>42</v>
      </c>
      <c r="N164" s="1">
        <v>44475.547222222223</v>
      </c>
      <c r="O164" s="1">
        <v>44502.556250000001</v>
      </c>
      <c r="P164" s="2" t="s">
        <v>606</v>
      </c>
      <c r="Q164" s="2" t="s">
        <v>607</v>
      </c>
      <c r="V164" t="s">
        <v>48</v>
      </c>
      <c r="W164" t="s">
        <v>600</v>
      </c>
      <c r="X164" t="s">
        <v>49</v>
      </c>
      <c r="Y164" t="s">
        <v>49</v>
      </c>
      <c r="Z164" t="s">
        <v>110</v>
      </c>
      <c r="AA164" t="s">
        <v>608</v>
      </c>
      <c r="AB164" t="s">
        <v>208</v>
      </c>
      <c r="AC164" t="s">
        <v>209</v>
      </c>
      <c r="AD164" t="s">
        <v>54</v>
      </c>
      <c r="AE164" t="s">
        <v>55</v>
      </c>
      <c r="AG164" t="s">
        <v>57</v>
      </c>
      <c r="AH164">
        <v>84</v>
      </c>
      <c r="AI164" t="s">
        <v>58</v>
      </c>
    </row>
    <row r="165" spans="1:35" x14ac:dyDescent="0.35">
      <c r="A165">
        <v>2188349</v>
      </c>
      <c r="B165">
        <v>2195456</v>
      </c>
      <c r="C165" s="1">
        <v>44742</v>
      </c>
      <c r="D165" s="1">
        <v>44720</v>
      </c>
      <c r="F165" t="s">
        <v>37</v>
      </c>
      <c r="G165" s="1">
        <v>44742.564583333333</v>
      </c>
      <c r="H165" t="s">
        <v>38</v>
      </c>
      <c r="I165" t="s">
        <v>195</v>
      </c>
      <c r="J165" t="s">
        <v>595</v>
      </c>
      <c r="K165" t="s">
        <v>596</v>
      </c>
      <c r="L165" t="s">
        <v>597</v>
      </c>
      <c r="M165" t="s">
        <v>42</v>
      </c>
      <c r="N165" s="1">
        <v>44475.547222222223</v>
      </c>
      <c r="O165" s="1">
        <v>44502.556250000001</v>
      </c>
      <c r="P165" s="2" t="s">
        <v>609</v>
      </c>
      <c r="Q165" s="2" t="s">
        <v>610</v>
      </c>
      <c r="V165" t="s">
        <v>48</v>
      </c>
      <c r="W165" t="s">
        <v>600</v>
      </c>
      <c r="X165" t="s">
        <v>49</v>
      </c>
      <c r="Y165" t="s">
        <v>49</v>
      </c>
      <c r="Z165" t="s">
        <v>171</v>
      </c>
      <c r="AA165" t="s">
        <v>172</v>
      </c>
      <c r="AB165" t="s">
        <v>611</v>
      </c>
      <c r="AC165" t="s">
        <v>612</v>
      </c>
      <c r="AD165" t="s">
        <v>54</v>
      </c>
      <c r="AE165" t="s">
        <v>55</v>
      </c>
      <c r="AG165" t="s">
        <v>57</v>
      </c>
      <c r="AH165">
        <v>84</v>
      </c>
      <c r="AI165"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4646CD0-8140-48DD-8E3E-7D544D1349C7}"/>
</file>

<file path=customXml/itemProps2.xml><?xml version="1.0" encoding="utf-8"?>
<ds:datastoreItem xmlns:ds="http://schemas.openxmlformats.org/officeDocument/2006/customXml" ds:itemID="{23376606-3D6C-4E7A-892B-725908368A46}">
  <ds:schemaRefs>
    <ds:schemaRef ds:uri="http://schemas.microsoft.com/sharepoint/v3/contenttype/forms"/>
  </ds:schemaRefs>
</ds:datastoreItem>
</file>

<file path=customXml/itemProps3.xml><?xml version="1.0" encoding="utf-8"?>
<ds:datastoreItem xmlns:ds="http://schemas.openxmlformats.org/officeDocument/2006/customXml" ds:itemID="{7F9F2D3D-246A-47C1-84C6-889F2519F403}">
  <ds:schemaRefs>
    <ds:schemaRef ds:uri="http://purl.org/dc/elements/1.1/"/>
    <ds:schemaRef ds:uri="http://schemas.microsoft.com/office/2006/metadata/properties"/>
    <ds:schemaRef ds:uri="http://purl.org/dc/dcmitype/"/>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2026-03-24T10:23:59Z</dcterms:created>
  <dcterms:modified xsi:type="dcterms:W3CDTF">2026-03-24T10:24:16Z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2026-03-24T10:23:59Z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976f3ea2-c97c-490f-8ba4-96e312d42d9f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